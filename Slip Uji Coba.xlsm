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3. RS mitra\1.1_Gaji Karyawan RS MITRA\"/>
    </mc:Choice>
  </mc:AlternateContent>
  <xr:revisionPtr revIDLastSave="0" documentId="13_ncr:1_{381E8ADD-4095-4DD7-B127-14A2CBDF470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Gaji RS" sheetId="1" r:id="rId1"/>
    <sheet name="Slip Gaji Cetak" sheetId="4" r:id="rId2"/>
    <sheet name="Slip Coba" sheetId="8" r:id="rId3"/>
  </sheets>
  <externalReferences>
    <externalReference r:id="rId4"/>
  </externalReferences>
  <definedNames>
    <definedName name="_xlnm.Print_Area" localSheetId="2">'Slip Coba'!$A$1:$K$32</definedName>
    <definedName name="_xlnm.Print_Area" localSheetId="1">'Slip Gaji Cetak'!$A$1:$K$32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8" l="1"/>
  <c r="J23" i="8"/>
  <c r="J22" i="8"/>
  <c r="J21" i="8"/>
  <c r="J20" i="8"/>
  <c r="J19" i="8"/>
  <c r="J18" i="8"/>
  <c r="J10" i="8"/>
  <c r="J8" i="8"/>
  <c r="J7" i="8"/>
  <c r="J6" i="8"/>
  <c r="J5" i="8"/>
  <c r="G31" i="8" s="1"/>
  <c r="D5" i="8"/>
  <c r="Z10" i="1" l="1"/>
  <c r="Z11" i="1"/>
  <c r="Z12" i="1"/>
  <c r="Z13" i="1"/>
  <c r="Z14" i="1"/>
  <c r="Y14" i="1"/>
  <c r="X14" i="1"/>
  <c r="W14" i="1"/>
  <c r="V14" i="1"/>
  <c r="T14" i="1"/>
  <c r="S14" i="1"/>
  <c r="Y13" i="1"/>
  <c r="X13" i="1"/>
  <c r="W13" i="1"/>
  <c r="V13" i="1"/>
  <c r="T13" i="1"/>
  <c r="AH13" i="1" s="1"/>
  <c r="S13" i="1"/>
  <c r="Y12" i="1"/>
  <c r="X12" i="1"/>
  <c r="W12" i="1"/>
  <c r="V12" i="1"/>
  <c r="T12" i="1"/>
  <c r="S12" i="1"/>
  <c r="Y11" i="1"/>
  <c r="X11" i="1"/>
  <c r="W11" i="1"/>
  <c r="V11" i="1"/>
  <c r="T11" i="1"/>
  <c r="AH11" i="1" s="1"/>
  <c r="S11" i="1"/>
  <c r="Y10" i="1"/>
  <c r="X10" i="1"/>
  <c r="W10" i="1"/>
  <c r="V10" i="1"/>
  <c r="T10" i="1"/>
  <c r="S10" i="1"/>
  <c r="O14" i="1"/>
  <c r="O13" i="1"/>
  <c r="R13" i="1" s="1"/>
  <c r="O12" i="1"/>
  <c r="R12" i="1" s="1"/>
  <c r="O11" i="1"/>
  <c r="R11" i="1" s="1"/>
  <c r="O10" i="1"/>
  <c r="R10" i="1" l="1"/>
  <c r="AH10" i="1"/>
  <c r="AH12" i="1"/>
  <c r="J13" i="8"/>
  <c r="J9" i="8"/>
  <c r="J17" i="8"/>
  <c r="J15" i="8"/>
  <c r="R14" i="1"/>
  <c r="J11" i="8"/>
  <c r="AH14" i="1"/>
  <c r="AI14" i="1" s="1"/>
  <c r="J16" i="8"/>
  <c r="AI11" i="1"/>
  <c r="AI13" i="1"/>
  <c r="AI10" i="1"/>
  <c r="AI12" i="1"/>
  <c r="J12" i="8" l="1"/>
  <c r="J14" i="8" s="1"/>
  <c r="J25" i="8" s="1"/>
  <c r="J24" i="4" l="1"/>
  <c r="J23" i="4"/>
  <c r="J22" i="4"/>
  <c r="J21" i="4"/>
  <c r="J20" i="4"/>
  <c r="J19" i="4"/>
  <c r="J18" i="4"/>
  <c r="J17" i="4"/>
  <c r="J16" i="4"/>
  <c r="J15" i="4"/>
  <c r="J13" i="4"/>
  <c r="J12" i="4"/>
  <c r="J11" i="4"/>
  <c r="J10" i="4"/>
  <c r="J9" i="4" l="1"/>
  <c r="J8" i="4"/>
  <c r="J7" i="4"/>
  <c r="J6" i="4"/>
  <c r="J5" i="4"/>
  <c r="J14" i="4" l="1"/>
  <c r="J25" i="4" s="1"/>
  <c r="D5" i="4" l="1"/>
  <c r="G31" i="4" l="1"/>
</calcChain>
</file>

<file path=xl/sharedStrings.xml><?xml version="1.0" encoding="utf-8"?>
<sst xmlns="http://schemas.openxmlformats.org/spreadsheetml/2006/main" count="179" uniqueCount="96">
  <si>
    <t>NO</t>
  </si>
  <si>
    <t>NIK</t>
  </si>
  <si>
    <t>NAMA KARYAWAN</t>
  </si>
  <si>
    <t>BAGIAN</t>
  </si>
  <si>
    <t>JABATAN</t>
  </si>
  <si>
    <t>TGL MASUK</t>
  </si>
  <si>
    <t>GAJI POKOK</t>
  </si>
  <si>
    <t>TAMBAHAN PENGHASILAN</t>
  </si>
  <si>
    <t>JUMLAH TAMBAHAN PENGHASILAN</t>
  </si>
  <si>
    <t>POTONGAN</t>
  </si>
  <si>
    <t>JUMLAH POTONGAN</t>
  </si>
  <si>
    <t>TOTAL GAJI YANG DIBAYARKAN</t>
  </si>
  <si>
    <t>TUNJANGAN</t>
  </si>
  <si>
    <t>INSENTIF</t>
  </si>
  <si>
    <t>LEMBUR ( 1/173 X GAJI )</t>
  </si>
  <si>
    <t>LAIN-LAIN</t>
  </si>
  <si>
    <t>BPJS KESEHATAN</t>
  </si>
  <si>
    <t>BPJS KETENAGAKERJAAN</t>
  </si>
  <si>
    <t>RUMAH SAKIT (-4%)</t>
  </si>
  <si>
    <t>KARYAWAN (-1%)</t>
  </si>
  <si>
    <t>Tambahan KARYAWAN  (-1%)</t>
  </si>
  <si>
    <t>JKK (RS : 0,24%)</t>
  </si>
  <si>
    <t>JK (RS : 0,30%)</t>
  </si>
  <si>
    <t>JHT  RS (5,7%)</t>
  </si>
  <si>
    <t>JP RS (2%)</t>
  </si>
  <si>
    <t>JHT &amp; JP KARYAWAN (-3%)</t>
  </si>
  <si>
    <t>ON CALL</t>
  </si>
  <si>
    <r>
      <t>RUMAH SAKIT MITRA</t>
    </r>
    <r>
      <rPr>
        <sz val="20"/>
        <color theme="1"/>
        <rFont val="Calibri"/>
        <family val="2"/>
        <scheme val="minor"/>
      </rPr>
      <t xml:space="preserve"> </t>
    </r>
  </si>
  <si>
    <t>Melayani Sepenuh Hati</t>
  </si>
  <si>
    <t>SLIP GAJI</t>
  </si>
  <si>
    <t>Periode Gaji Tahun</t>
  </si>
  <si>
    <t>Gaji Pokok</t>
  </si>
  <si>
    <t>:</t>
  </si>
  <si>
    <t>Lembur</t>
  </si>
  <si>
    <t>Oncall</t>
  </si>
  <si>
    <t>Sub Total</t>
  </si>
  <si>
    <t>Potongan</t>
  </si>
  <si>
    <t xml:space="preserve">  </t>
  </si>
  <si>
    <t>Di Terima Oleh</t>
  </si>
  <si>
    <t xml:space="preserve">                   </t>
  </si>
  <si>
    <t>Urutan</t>
  </si>
  <si>
    <t>Bulan</t>
  </si>
  <si>
    <t>Nama</t>
  </si>
  <si>
    <t>PPH 21</t>
  </si>
  <si>
    <t>TERLAMBAT / TRANSPORT</t>
  </si>
  <si>
    <t>TIDAK HADIR / TRANSPORT &amp; MAKAN</t>
  </si>
  <si>
    <t>TAGIHAN / KASBON</t>
  </si>
  <si>
    <t>KOPERASI</t>
  </si>
  <si>
    <t>Lain-lain</t>
  </si>
  <si>
    <t>JABATAN STRUKTURAL</t>
  </si>
  <si>
    <t>JABATAN FUNGSIONAL</t>
  </si>
  <si>
    <t>Insentif</t>
  </si>
  <si>
    <t>LAIN -LAIN / CUTI MELAHIRKAN</t>
  </si>
  <si>
    <t>Tunjangan Struktural</t>
  </si>
  <si>
    <t>Tunjangan Fungsional</t>
  </si>
  <si>
    <t xml:space="preserve">Mengetahui, </t>
  </si>
  <si>
    <t>BPJS Kesehatan Keluarga Tambahan</t>
  </si>
  <si>
    <t>Golongan</t>
  </si>
  <si>
    <t>Struktur Organisasi</t>
  </si>
  <si>
    <t>Absensi Keterlambatan</t>
  </si>
  <si>
    <t xml:space="preserve">KETIDAKHADIRAN SE </t>
  </si>
  <si>
    <t xml:space="preserve">Total Upah </t>
  </si>
  <si>
    <t>Koperasi Mitra Mandiri Sejahtera</t>
  </si>
  <si>
    <t>Asisten Manajer Keuangan</t>
  </si>
  <si>
    <t>Penanggung Jawab Keuangan RS</t>
  </si>
  <si>
    <t>K3RS dan Manajemen Risiko</t>
  </si>
  <si>
    <t xml:space="preserve">Tunjangan Kehadiran </t>
  </si>
  <si>
    <t>KEHADIRAN</t>
  </si>
  <si>
    <t>BPJS Ketenagakerjaan 3%</t>
  </si>
  <si>
    <t>BPJS Kesehatan 1%</t>
  </si>
  <si>
    <t>Absensi Ketidakhadiran/Sakit</t>
  </si>
  <si>
    <t>Denda Ketidakhadiran/Diklat/Undangan</t>
  </si>
  <si>
    <t>Tagihan/ Pembelian Obat/Hutang</t>
  </si>
  <si>
    <t>Jabatan</t>
  </si>
  <si>
    <t>Januari</t>
  </si>
  <si>
    <t>Orkhan</t>
  </si>
  <si>
    <t>Naci</t>
  </si>
  <si>
    <t>Upin</t>
  </si>
  <si>
    <t>Ipin</t>
  </si>
  <si>
    <t>Atika Rahim , S.H</t>
  </si>
  <si>
    <t>HRD</t>
  </si>
  <si>
    <t>SDM</t>
  </si>
  <si>
    <t>Keuangan</t>
  </si>
  <si>
    <t>Sekretariat</t>
  </si>
  <si>
    <t>Perizinan</t>
  </si>
  <si>
    <t>K3RS</t>
  </si>
  <si>
    <t>Periode</t>
  </si>
  <si>
    <t>Jmlh Karyawan</t>
  </si>
  <si>
    <t>Atika Rahim, S.H</t>
  </si>
  <si>
    <t>01 Desember 2016</t>
  </si>
  <si>
    <t>09 Desember 2016</t>
  </si>
  <si>
    <t>17 Desember 2016</t>
  </si>
  <si>
    <t>01 Desember 2017</t>
  </si>
  <si>
    <t>01 Maret 2017</t>
  </si>
  <si>
    <t>Kepala Bagian SDM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</si>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</sst>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Rp&quot;* #,##0_-;\-&quot;Rp&quot;* #,##0_-;_-&quot;Rp&quot;* &quot;-&quot;_-;_-@_-"/>
    <numFmt numFmtId="41" formatCode="_-* #,##0_-;\-* #,##0_-;_-* &quot;-&quot;_-;_-@_-"/>
    <numFmt numFmtId="164" formatCode="_(&quot;Rp&quot;* #,##0_);_(&quot;Rp&quot;* \(#,##0\);_(&quot;Rp&quot;* &quot;-&quot;_);_(@_)"/>
    <numFmt numFmtId="165" formatCode="_(* #,##0_);_(* \(#,##0\);_(* &quot;-&quot;_);_(@_)"/>
    <numFmt numFmtId="166" formatCode="_-[$Rp-421]* #,##0.00_-;\-[$Rp-421]* #,##0.00_-;_-[$Rp-421]* &quot;-&quot;??_-;_-@_-"/>
    <numFmt numFmtId="167" formatCode="_-&quot;Rp&quot;* #,##0_-;\-&quot;Rp&quot;* #,##0_-;_-&quot;Rp&quot;* &quot;-&quot;_-;_-@"/>
    <numFmt numFmtId="168" formatCode="_-[$Rp-421]* #,##0_-;\-[$Rp-421]* #,##0_-;_-[$Rp-421]* &quot;-&quot;??_-;_-@_-"/>
    <numFmt numFmtId="169" formatCode="[$-F800]dddd\,\ mmmm\ dd\,\ yyyy"/>
  </numFmts>
  <fonts count="24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FF0000"/>
      <name val="Berlin Sans FB Demi"/>
      <family val="2"/>
    </font>
    <font>
      <sz val="20"/>
      <color theme="1"/>
      <name val="Calibri"/>
      <family val="2"/>
      <scheme val="minor"/>
    </font>
    <font>
      <sz val="20"/>
      <color rgb="FF00B050"/>
      <name val="Palace Script MT"/>
      <family val="4"/>
    </font>
    <font>
      <b/>
      <u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0"/>
      <color theme="1"/>
      <name val="Roboto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0"/>
      <color theme="1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FF0000"/>
        <bgColor rgb="FFFF0000"/>
      </patternFill>
    </fill>
    <fill>
      <patternFill patternType="solid">
        <fgColor theme="6" tint="0.59999389629810485"/>
        <bgColor rgb="FF92CDDC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9">
    <xf numFmtId="0" fontId="0" fillId="0" borderId="0"/>
    <xf numFmtId="0" fontId="6" fillId="0" borderId="0"/>
    <xf numFmtId="41" fontId="5" fillId="0" borderId="0" applyFont="0" applyFill="0" applyBorder="0" applyAlignment="0" applyProtection="0"/>
    <xf numFmtId="0" fontId="5" fillId="0" borderId="0"/>
    <xf numFmtId="41" fontId="4" fillId="0" borderId="0" applyFont="0" applyFill="0" applyBorder="0" applyAlignment="0" applyProtection="0"/>
    <xf numFmtId="0" fontId="3" fillId="0" borderId="0"/>
    <xf numFmtId="0" fontId="3" fillId="0" borderId="0"/>
    <xf numFmtId="0" fontId="2" fillId="0" borderId="0"/>
    <xf numFmtId="0" fontId="22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center"/>
    </xf>
    <xf numFmtId="0" fontId="9" fillId="0" borderId="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6" fillId="0" borderId="2" xfId="0" applyFont="1" applyBorder="1" applyAlignment="1">
      <alignment vertical="center"/>
    </xf>
    <xf numFmtId="0" fontId="9" fillId="0" borderId="0" xfId="0" applyFont="1" applyAlignment="1">
      <alignment horizontal="left" vertical="center" indent="10"/>
    </xf>
    <xf numFmtId="0" fontId="10" fillId="0" borderId="0" xfId="0" applyFont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166" fontId="10" fillId="0" borderId="0" xfId="0" applyNumberFormat="1" applyFont="1" applyAlignment="1">
      <alignment horizontal="left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vertical="center"/>
    </xf>
    <xf numFmtId="0" fontId="19" fillId="0" borderId="6" xfId="0" applyFont="1" applyBorder="1" applyAlignment="1">
      <alignment horizontal="center" vertical="center" wrapText="1"/>
    </xf>
    <xf numFmtId="9" fontId="19" fillId="4" borderId="6" xfId="0" applyNumberFormat="1" applyFont="1" applyFill="1" applyBorder="1" applyAlignment="1">
      <alignment horizontal="center" vertical="center" wrapText="1"/>
    </xf>
    <xf numFmtId="9" fontId="19" fillId="0" borderId="6" xfId="0" applyNumberFormat="1" applyFont="1" applyBorder="1" applyAlignment="1">
      <alignment horizontal="center" vertical="center"/>
    </xf>
    <xf numFmtId="9" fontId="19" fillId="0" borderId="6" xfId="0" applyNumberFormat="1" applyFont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/>
    </xf>
    <xf numFmtId="0" fontId="19" fillId="4" borderId="6" xfId="0" applyFont="1" applyFill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10" fillId="0" borderId="3" xfId="0" applyFont="1" applyBorder="1" applyAlignment="1">
      <alignment vertical="center" wrapText="1"/>
    </xf>
    <xf numFmtId="0" fontId="8" fillId="0" borderId="0" xfId="0" applyFont="1" applyAlignment="1">
      <alignment horizontal="center" wrapText="1"/>
    </xf>
    <xf numFmtId="0" fontId="0" fillId="0" borderId="1" xfId="0" applyBorder="1" applyAlignment="1">
      <alignment vertical="center" wrapText="1"/>
    </xf>
    <xf numFmtId="164" fontId="18" fillId="0" borderId="1" xfId="0" applyNumberFormat="1" applyFont="1" applyBorder="1" applyAlignment="1">
      <alignment vertical="center" wrapText="1"/>
    </xf>
    <xf numFmtId="165" fontId="18" fillId="0" borderId="1" xfId="0" applyNumberFormat="1" applyFont="1" applyBorder="1" applyAlignment="1">
      <alignment vertical="center" wrapText="1"/>
    </xf>
    <xf numFmtId="165" fontId="18" fillId="0" borderId="1" xfId="0" applyNumberFormat="1" applyFont="1" applyBorder="1" applyAlignment="1">
      <alignment horizontal="center" vertical="center" wrapText="1"/>
    </xf>
    <xf numFmtId="165" fontId="19" fillId="0" borderId="1" xfId="0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left" vertical="center" wrapText="1"/>
    </xf>
    <xf numFmtId="164" fontId="19" fillId="0" borderId="1" xfId="0" applyNumberFormat="1" applyFont="1" applyBorder="1" applyAlignment="1">
      <alignment horizontal="center" vertical="center" wrapText="1"/>
    </xf>
    <xf numFmtId="167" fontId="19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20" fillId="0" borderId="11" xfId="0" applyFont="1" applyBorder="1"/>
    <xf numFmtId="0" fontId="20" fillId="0" borderId="12" xfId="0" applyFont="1" applyBorder="1"/>
    <xf numFmtId="0" fontId="20" fillId="0" borderId="12" xfId="0" applyFont="1" applyBorder="1" applyAlignment="1">
      <alignment vertical="center"/>
    </xf>
    <xf numFmtId="0" fontId="19" fillId="0" borderId="8" xfId="0" applyFont="1" applyBorder="1" applyAlignment="1">
      <alignment horizontal="center" vertical="center"/>
    </xf>
    <xf numFmtId="0" fontId="20" fillId="0" borderId="11" xfId="0" applyFont="1" applyBorder="1" applyAlignment="1">
      <alignment vertical="center"/>
    </xf>
    <xf numFmtId="14" fontId="19" fillId="0" borderId="8" xfId="0" applyNumberFormat="1" applyFont="1" applyBorder="1" applyAlignment="1">
      <alignment horizontal="center" vertical="center"/>
    </xf>
    <xf numFmtId="0" fontId="7" fillId="0" borderId="1" xfId="7" applyFont="1" applyBorder="1" applyAlignment="1">
      <alignment horizontal="left" vertical="center" wrapText="1"/>
    </xf>
    <xf numFmtId="2" fontId="18" fillId="0" borderId="1" xfId="0" applyNumberFormat="1" applyFont="1" applyBorder="1" applyAlignment="1">
      <alignment horizontal="center" vertical="center" wrapText="1"/>
    </xf>
    <xf numFmtId="42" fontId="19" fillId="0" borderId="1" xfId="0" applyNumberFormat="1" applyFont="1" applyBorder="1" applyAlignment="1">
      <alignment horizontal="center" vertical="center" wrapText="1"/>
    </xf>
    <xf numFmtId="42" fontId="19" fillId="2" borderId="1" xfId="0" applyNumberFormat="1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/>
    </xf>
    <xf numFmtId="0" fontId="0" fillId="2" borderId="0" xfId="0" applyFill="1"/>
    <xf numFmtId="0" fontId="8" fillId="0" borderId="0" xfId="0" applyFont="1"/>
    <xf numFmtId="0" fontId="10" fillId="0" borderId="3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18" fillId="2" borderId="8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left"/>
    </xf>
    <xf numFmtId="0" fontId="9" fillId="0" borderId="2" xfId="0" applyFont="1" applyBorder="1"/>
    <xf numFmtId="0" fontId="9" fillId="0" borderId="0" xfId="0" applyFont="1"/>
    <xf numFmtId="0" fontId="9" fillId="0" borderId="0" xfId="0" applyFont="1" applyAlignment="1">
      <alignment horizontal="left"/>
    </xf>
    <xf numFmtId="17" fontId="0" fillId="0" borderId="0" xfId="0" applyNumberFormat="1"/>
    <xf numFmtId="169" fontId="18" fillId="0" borderId="1" xfId="0" quotePrefix="1" applyNumberFormat="1" applyFont="1" applyBorder="1" applyAlignment="1">
      <alignment horizontal="center" vertical="center" wrapText="1"/>
    </xf>
    <xf numFmtId="0" fontId="23" fillId="0" borderId="1" xfId="8" applyFont="1" applyBorder="1" applyAlignment="1">
      <alignment horizontal="center" vertical="center"/>
    </xf>
    <xf numFmtId="0" fontId="1" fillId="0" borderId="0" xfId="0" applyFont="1"/>
    <xf numFmtId="0" fontId="19" fillId="0" borderId="8" xfId="0" applyFont="1" applyBorder="1" applyAlignment="1">
      <alignment horizontal="center" vertical="center"/>
    </xf>
    <xf numFmtId="0" fontId="20" fillId="0" borderId="11" xfId="0" applyFont="1" applyBorder="1"/>
    <xf numFmtId="0" fontId="20" fillId="0" borderId="12" xfId="0" applyFont="1" applyBorder="1"/>
    <xf numFmtId="0" fontId="19" fillId="0" borderId="8" xfId="0" applyFont="1" applyBorder="1" applyAlignment="1">
      <alignment horizontal="center" vertical="center" wrapText="1"/>
    </xf>
    <xf numFmtId="0" fontId="20" fillId="0" borderId="12" xfId="0" applyFont="1" applyBorder="1" applyAlignment="1">
      <alignment vertical="center"/>
    </xf>
    <xf numFmtId="0" fontId="19" fillId="0" borderId="7" xfId="0" applyFont="1" applyBorder="1" applyAlignment="1">
      <alignment horizontal="center" vertical="center"/>
    </xf>
    <xf numFmtId="0" fontId="20" fillId="0" borderId="9" xfId="0" applyFont="1" applyBorder="1"/>
    <xf numFmtId="0" fontId="20" fillId="0" borderId="10" xfId="0" applyFont="1" applyBorder="1"/>
    <xf numFmtId="164" fontId="19" fillId="0" borderId="8" xfId="0" applyNumberFormat="1" applyFont="1" applyBorder="1" applyAlignment="1">
      <alignment horizontal="center" vertical="center" wrapText="1"/>
    </xf>
    <xf numFmtId="164" fontId="20" fillId="0" borderId="12" xfId="0" applyNumberFormat="1" applyFont="1" applyBorder="1" applyAlignment="1">
      <alignment vertical="center"/>
    </xf>
    <xf numFmtId="0" fontId="19" fillId="0" borderId="12" xfId="0" applyFont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 wrapText="1"/>
    </xf>
    <xf numFmtId="0" fontId="20" fillId="0" borderId="11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0" fontId="20" fillId="0" borderId="11" xfId="0" applyFont="1" applyBorder="1" applyAlignment="1">
      <alignment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 wrapText="1"/>
    </xf>
    <xf numFmtId="14" fontId="19" fillId="0" borderId="8" xfId="0" applyNumberFormat="1" applyFont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9" fillId="0" borderId="0" xfId="0" applyFont="1" applyAlignment="1">
      <alignment horizontal="left"/>
    </xf>
    <xf numFmtId="166" fontId="9" fillId="0" borderId="0" xfId="0" applyNumberFormat="1" applyFont="1" applyAlignment="1">
      <alignment horizontal="left"/>
    </xf>
    <xf numFmtId="0" fontId="0" fillId="0" borderId="0" xfId="0" applyAlignment="1">
      <alignment horizontal="center" vertical="center" wrapText="1"/>
    </xf>
    <xf numFmtId="0" fontId="10" fillId="0" borderId="5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168" fontId="10" fillId="0" borderId="3" xfId="0" applyNumberFormat="1" applyFont="1" applyBorder="1" applyAlignment="1">
      <alignment horizontal="left"/>
    </xf>
    <xf numFmtId="0" fontId="9" fillId="0" borderId="0" xfId="0" applyFont="1" applyAlignment="1">
      <alignment horizontal="center" vertical="center"/>
    </xf>
    <xf numFmtId="166" fontId="16" fillId="0" borderId="3" xfId="0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66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166" fontId="9" fillId="0" borderId="2" xfId="0" applyNumberFormat="1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0" fillId="0" borderId="3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/>
    </xf>
    <xf numFmtId="166" fontId="9" fillId="0" borderId="4" xfId="0" applyNumberFormat="1" applyFont="1" applyBorder="1" applyAlignment="1">
      <alignment horizontal="left" vertical="center"/>
    </xf>
    <xf numFmtId="166" fontId="9" fillId="0" borderId="2" xfId="0" applyNumberFormat="1" applyFont="1" applyBorder="1" applyAlignment="1">
      <alignment horizontal="left"/>
    </xf>
  </cellXfs>
  <cellStyles count="9">
    <cellStyle name="Comma [0] 2" xfId="4" xr:uid="{00000000-0005-0000-0000-000000000000}"/>
    <cellStyle name="Hyperlink" xfId="8" builtinId="8"/>
    <cellStyle name="Koma [0] 2" xfId="2" xr:uid="{00000000-0005-0000-0000-000002000000}"/>
    <cellStyle name="Normal" xfId="0" builtinId="0"/>
    <cellStyle name="Normal 2" xfId="1" xr:uid="{00000000-0005-0000-0000-000004000000}"/>
    <cellStyle name="Normal 2 2" xfId="6" xr:uid="{00000000-0005-0000-0000-000005000000}"/>
    <cellStyle name="Normal 2 2 2" xfId="7" xr:uid="{00000000-0005-0000-0000-000006000000}"/>
    <cellStyle name="Normal 3" xfId="3" xr:uid="{00000000-0005-0000-0000-000007000000}"/>
    <cellStyle name="Normal 4" xfId="5" xr:uid="{00000000-0005-0000-0000-000008000000}"/>
  </cellStyles>
  <dxfs count="2">
    <dxf>
      <font>
        <color rgb="FF000000"/>
      </font>
      <fill>
        <patternFill patternType="solid">
          <fgColor rgb="FFF4CCCC"/>
          <bgColor rgb="FFF4CCCC"/>
        </patternFill>
      </fill>
    </dxf>
    <dxf>
      <font>
        <color rgb="FF000000"/>
      </font>
      <fill>
        <patternFill patternType="solid">
          <fgColor rgb="FFF4CCCC"/>
          <bgColor rgb="FFF4CCCC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22" fmlaLink="$M$5" fmlaRange="'Gaji RS'!$C$10:$G$24" noThreeD="1" sel="1" val="0"/>
</file>

<file path=xl/ctrlProps/ctrlProp2.xml><?xml version="1.0" encoding="utf-8"?>
<formControlPr xmlns="http://schemas.microsoft.com/office/spreadsheetml/2009/9/main" objectType="List" dx="22" fmlaLink="$M$5" fmlaRange="'Gaji RS'!$C$10:$G$2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219074</xdr:colOff>
      <xdr:row>0</xdr:row>
      <xdr:rowOff>76201</xdr:rowOff>
    </xdr:from>
    <xdr:to>
      <xdr:col>1</xdr:col>
      <xdr:colOff>342900</xdr:colOff>
      <xdr:row>2</xdr:row>
      <xdr:rowOff>105908</xdr:rowOff>
    </xdr:to>
    <xdr:pic>
      <xdr:nvPicPr>
        <xdr:cNvPr id="2" name="Picture 494" descr="IMG-20160921-WA007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4" y="76201"/>
          <a:ext cx="733426" cy="686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76200</xdr:colOff>
      <xdr:row>27</xdr:row>
      <xdr:rowOff>200024</xdr:rowOff>
    </xdr:from>
    <xdr:ext cx="1885950" cy="66896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781674"/>
          <a:ext cx="1885950" cy="668960"/>
        </a:xfrm>
        <a:prstGeom prst="rect">
          <a:avLst/>
        </a:prstGeom>
      </xdr:spPr>
    </xdr:pic>
    <xdr:clientData/>
  </xdr:oneCellAnchor>
  <xdr:twoCellAnchor editAs="oneCell">
    <xdr:from>
      <xdr:col>10</xdr:col>
      <xdr:colOff>152400</xdr:colOff>
      <xdr:row>0</xdr:row>
      <xdr:rowOff>28575</xdr:rowOff>
    </xdr:from>
    <xdr:to>
      <xdr:col>10</xdr:col>
      <xdr:colOff>876300</xdr:colOff>
      <xdr:row>2</xdr:row>
      <xdr:rowOff>199672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8575"/>
          <a:ext cx="723900" cy="837847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4</xdr:row>
          <xdr:rowOff>257175</xdr:rowOff>
        </xdr:from>
        <xdr:to>
          <xdr:col>16</xdr:col>
          <xdr:colOff>38100</xdr:colOff>
          <xdr:row>24</xdr:row>
          <xdr:rowOff>133350</xdr:rowOff>
        </xdr:to>
        <xdr:sp macro="" textlink="">
          <xdr:nvSpPr>
            <xdr:cNvPr id="1025" name="List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387163</xdr:colOff>
      <xdr:row>0</xdr:row>
      <xdr:rowOff>121025</xdr:rowOff>
    </xdr:from>
    <xdr:to>
      <xdr:col>1</xdr:col>
      <xdr:colOff>510989</xdr:colOff>
      <xdr:row>2</xdr:row>
      <xdr:rowOff>150732</xdr:rowOff>
    </xdr:to>
    <xdr:pic>
      <xdr:nvPicPr>
        <xdr:cNvPr id="2" name="Picture 494" descr="IMG-20160921-WA0078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163" y="121025"/>
          <a:ext cx="728944" cy="702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76200</xdr:colOff>
      <xdr:row>27</xdr:row>
      <xdr:rowOff>200024</xdr:rowOff>
    </xdr:from>
    <xdr:ext cx="1885950" cy="66896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6191249"/>
          <a:ext cx="1885950" cy="668960"/>
        </a:xfrm>
        <a:prstGeom prst="rect">
          <a:avLst/>
        </a:prstGeom>
      </xdr:spPr>
    </xdr:pic>
    <xdr:clientData/>
  </xdr:oneCellAnchor>
  <xdr:twoCellAnchor editAs="oneCell">
    <xdr:from>
      <xdr:col>10</xdr:col>
      <xdr:colOff>152400</xdr:colOff>
      <xdr:row>0</xdr:row>
      <xdr:rowOff>28575</xdr:rowOff>
    </xdr:from>
    <xdr:to>
      <xdr:col>10</xdr:col>
      <xdr:colOff>876300</xdr:colOff>
      <xdr:row>2</xdr:row>
      <xdr:rowOff>199672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0" y="28575"/>
          <a:ext cx="723900" cy="837847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4</xdr:row>
          <xdr:rowOff>257175</xdr:rowOff>
        </xdr:from>
        <xdr:to>
          <xdr:col>16</xdr:col>
          <xdr:colOff>38100</xdr:colOff>
          <xdr:row>24</xdr:row>
          <xdr:rowOff>133350</xdr:rowOff>
        </xdr:to>
        <xdr:sp macro="" textlink="">
          <xdr:nvSpPr>
            <xdr:cNvPr id="8193" name="List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INGKAN%202025/Strategy/Penggajian/2025/250130%20Gaji%20Karyawan%20RS%20dan%20PT%20Januari%202025%20-%20Revis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ji PT"/>
      <sheetName val="Gabungan Gaji PT dan RS "/>
      <sheetName val="Uang Duduk Dokter"/>
      <sheetName val="Gaji Karyawan RS"/>
      <sheetName val="Sortir Unit"/>
      <sheetName val="Master Lembur"/>
      <sheetName val="Terlambat, Ketidakhadiran"/>
      <sheetName val="Iuran Koperasi"/>
      <sheetName val="Tagihan Kasbon "/>
      <sheetName val="Data Bisnis"/>
    </sheetNames>
    <sheetDataSet>
      <sheetData sheetId="0"/>
      <sheetData sheetId="1"/>
      <sheetData sheetId="2"/>
      <sheetData sheetId="3"/>
      <sheetData sheetId="4"/>
      <sheetData sheetId="5">
        <row r="152">
          <cell r="K152">
            <v>260000</v>
          </cell>
        </row>
      </sheetData>
      <sheetData sheetId="6"/>
      <sheetData sheetId="7">
        <row r="179">
          <cell r="I179">
            <v>20000</v>
          </cell>
        </row>
      </sheetData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6"/>
  <sheetViews>
    <sheetView tabSelected="1" zoomScale="70" zoomScaleNormal="70" workbookViewId="0">
      <pane xSplit="10" ySplit="8" topLeftCell="K9" activePane="bottomRight" state="frozen"/>
      <selection pane="topRight" activeCell="I1" sqref="I1"/>
      <selection pane="bottomLeft" activeCell="A4" sqref="A4"/>
      <selection pane="bottomRight" activeCell="I18" sqref="I18"/>
    </sheetView>
  </sheetViews>
  <sheetFormatPr defaultRowHeight="15" x14ac:dyDescent="0.25"/>
  <cols>
    <col min="1" max="1" width="5.85546875" style="1" customWidth="1"/>
    <col min="2" max="2" width="11.28515625" customWidth="1"/>
    <col min="3" max="3" width="48.140625" customWidth="1"/>
    <col min="4" max="4" width="18.42578125" customWidth="1"/>
    <col min="5" max="5" width="20.140625" hidden="1" customWidth="1"/>
    <col min="6" max="6" width="20" hidden="1" customWidth="1"/>
    <col min="7" max="7" width="38.42578125" style="13" customWidth="1"/>
    <col min="8" max="9" width="16.7109375" customWidth="1"/>
    <col min="10" max="10" width="21" customWidth="1"/>
    <col min="11" max="11" width="17.5703125" customWidth="1"/>
    <col min="12" max="12" width="14.42578125" customWidth="1"/>
    <col min="13" max="13" width="15.85546875" customWidth="1"/>
    <col min="14" max="14" width="17.28515625" customWidth="1"/>
    <col min="15" max="15" width="16.7109375" customWidth="1"/>
    <col min="16" max="16" width="16" customWidth="1"/>
    <col min="17" max="17" width="15.140625" customWidth="1"/>
    <col min="18" max="18" width="17.5703125" customWidth="1"/>
    <col min="19" max="25" width="17.7109375" customWidth="1"/>
    <col min="26" max="26" width="15.28515625" customWidth="1"/>
    <col min="27" max="29" width="15.7109375" customWidth="1"/>
    <col min="30" max="32" width="14.85546875" customWidth="1"/>
    <col min="33" max="33" width="17.7109375" customWidth="1"/>
    <col min="34" max="34" width="21" customWidth="1"/>
    <col min="35" max="35" width="17" customWidth="1"/>
    <col min="36" max="36" width="40.140625" customWidth="1"/>
    <col min="37" max="37" width="20.7109375" bestFit="1" customWidth="1"/>
  </cols>
  <sheetData>
    <row r="1" spans="1:40" x14ac:dyDescent="0.25">
      <c r="A1" s="82" t="s">
        <v>86</v>
      </c>
      <c r="B1" s="82"/>
      <c r="C1" s="56">
        <v>45809</v>
      </c>
    </row>
    <row r="2" spans="1:40" x14ac:dyDescent="0.25">
      <c r="A2" s="82" t="s">
        <v>80</v>
      </c>
      <c r="B2" s="82"/>
      <c r="C2" t="s">
        <v>88</v>
      </c>
    </row>
    <row r="3" spans="1:40" x14ac:dyDescent="0.25">
      <c r="A3" s="82" t="s">
        <v>87</v>
      </c>
      <c r="B3" s="82"/>
      <c r="C3">
        <v>5</v>
      </c>
    </row>
    <row r="6" spans="1:40" ht="17.25" customHeight="1" x14ac:dyDescent="0.25">
      <c r="A6" s="60" t="s">
        <v>0</v>
      </c>
      <c r="B6" s="60" t="s">
        <v>1</v>
      </c>
      <c r="C6" s="63" t="s">
        <v>2</v>
      </c>
      <c r="D6" s="63" t="s">
        <v>3</v>
      </c>
      <c r="E6" s="60" t="s">
        <v>57</v>
      </c>
      <c r="F6" s="36" t="s">
        <v>58</v>
      </c>
      <c r="G6" s="63" t="s">
        <v>4</v>
      </c>
      <c r="H6" s="79" t="s">
        <v>5</v>
      </c>
      <c r="I6" s="38"/>
      <c r="J6" s="80" t="s">
        <v>6</v>
      </c>
      <c r="K6" s="81" t="s">
        <v>7</v>
      </c>
      <c r="L6" s="66"/>
      <c r="M6" s="66"/>
      <c r="N6" s="66"/>
      <c r="O6" s="66"/>
      <c r="P6" s="66"/>
      <c r="Q6" s="67"/>
      <c r="R6" s="72" t="s">
        <v>8</v>
      </c>
      <c r="S6" s="71" t="s">
        <v>9</v>
      </c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7"/>
      <c r="AH6" s="72" t="s">
        <v>10</v>
      </c>
      <c r="AI6" s="63" t="s">
        <v>11</v>
      </c>
      <c r="AJ6" s="63" t="s">
        <v>95</v>
      </c>
      <c r="AK6" s="60"/>
    </row>
    <row r="7" spans="1:40" ht="17.25" customHeight="1" x14ac:dyDescent="0.25">
      <c r="A7" s="75"/>
      <c r="B7" s="75"/>
      <c r="C7" s="73"/>
      <c r="D7" s="61"/>
      <c r="E7" s="76"/>
      <c r="F7" s="33"/>
      <c r="G7" s="61"/>
      <c r="H7" s="75"/>
      <c r="I7" s="37"/>
      <c r="J7" s="75"/>
      <c r="K7" s="78" t="s">
        <v>12</v>
      </c>
      <c r="L7" s="66"/>
      <c r="M7" s="66"/>
      <c r="N7" s="63" t="s">
        <v>13</v>
      </c>
      <c r="O7" s="63" t="s">
        <v>26</v>
      </c>
      <c r="P7" s="63" t="s">
        <v>14</v>
      </c>
      <c r="Q7" s="63" t="s">
        <v>15</v>
      </c>
      <c r="R7" s="75"/>
      <c r="S7" s="65" t="s">
        <v>16</v>
      </c>
      <c r="T7" s="66"/>
      <c r="U7" s="67"/>
      <c r="V7" s="65" t="s">
        <v>17</v>
      </c>
      <c r="W7" s="66"/>
      <c r="X7" s="66"/>
      <c r="Y7" s="66"/>
      <c r="Z7" s="67"/>
      <c r="AA7" s="68" t="s">
        <v>44</v>
      </c>
      <c r="AB7" s="63" t="s">
        <v>45</v>
      </c>
      <c r="AC7" s="63" t="s">
        <v>46</v>
      </c>
      <c r="AD7" s="63" t="s">
        <v>47</v>
      </c>
      <c r="AE7" s="63" t="s">
        <v>60</v>
      </c>
      <c r="AF7" s="63" t="s">
        <v>43</v>
      </c>
      <c r="AG7" s="63" t="s">
        <v>52</v>
      </c>
      <c r="AH7" s="61"/>
      <c r="AI7" s="61"/>
      <c r="AJ7" s="61"/>
      <c r="AK7" s="61"/>
    </row>
    <row r="8" spans="1:40" ht="28.5" customHeight="1" x14ac:dyDescent="0.25">
      <c r="A8" s="64"/>
      <c r="B8" s="64"/>
      <c r="C8" s="74"/>
      <c r="D8" s="62"/>
      <c r="E8" s="77"/>
      <c r="F8" s="34"/>
      <c r="G8" s="62"/>
      <c r="H8" s="64"/>
      <c r="I8" s="35"/>
      <c r="J8" s="64"/>
      <c r="K8" s="15" t="s">
        <v>49</v>
      </c>
      <c r="L8" s="15" t="s">
        <v>50</v>
      </c>
      <c r="M8" s="15" t="s">
        <v>67</v>
      </c>
      <c r="N8" s="62"/>
      <c r="O8" s="62"/>
      <c r="P8" s="62"/>
      <c r="Q8" s="62"/>
      <c r="R8" s="64"/>
      <c r="S8" s="16" t="s">
        <v>18</v>
      </c>
      <c r="T8" s="17" t="s">
        <v>19</v>
      </c>
      <c r="U8" s="18" t="s">
        <v>20</v>
      </c>
      <c r="V8" s="19" t="s">
        <v>21</v>
      </c>
      <c r="W8" s="19" t="s">
        <v>22</v>
      </c>
      <c r="X8" s="20" t="s">
        <v>23</v>
      </c>
      <c r="Y8" s="20" t="s">
        <v>24</v>
      </c>
      <c r="Z8" s="21" t="s">
        <v>25</v>
      </c>
      <c r="AA8" s="69"/>
      <c r="AB8" s="64"/>
      <c r="AC8" s="64"/>
      <c r="AD8" s="64"/>
      <c r="AE8" s="70"/>
      <c r="AF8" s="70"/>
      <c r="AG8" s="64"/>
      <c r="AH8" s="62"/>
      <c r="AI8" s="62"/>
      <c r="AJ8" s="62"/>
      <c r="AK8" s="62"/>
    </row>
    <row r="9" spans="1:40" s="44" customFormat="1" ht="27.75" customHeight="1" x14ac:dyDescent="0.25">
      <c r="A9" s="50">
        <v>1</v>
      </c>
      <c r="B9" s="50">
        <v>2</v>
      </c>
      <c r="C9" s="50">
        <v>3</v>
      </c>
      <c r="D9" s="50">
        <v>4</v>
      </c>
      <c r="E9" s="50">
        <v>5</v>
      </c>
      <c r="F9" s="50">
        <v>6</v>
      </c>
      <c r="G9" s="50">
        <v>7</v>
      </c>
      <c r="H9" s="50">
        <v>8</v>
      </c>
      <c r="I9" s="50">
        <v>9</v>
      </c>
      <c r="J9" s="50">
        <v>10</v>
      </c>
      <c r="K9" s="50">
        <v>11</v>
      </c>
      <c r="L9" s="50">
        <v>12</v>
      </c>
      <c r="M9" s="50">
        <v>13</v>
      </c>
      <c r="N9" s="50">
        <v>14</v>
      </c>
      <c r="O9" s="50">
        <v>15</v>
      </c>
      <c r="P9" s="50">
        <v>16</v>
      </c>
      <c r="Q9" s="50">
        <v>17</v>
      </c>
      <c r="R9" s="50">
        <v>18</v>
      </c>
      <c r="S9" s="50">
        <v>19</v>
      </c>
      <c r="T9" s="50">
        <v>20</v>
      </c>
      <c r="U9" s="50">
        <v>21</v>
      </c>
      <c r="V9" s="50">
        <v>22</v>
      </c>
      <c r="W9" s="50">
        <v>23</v>
      </c>
      <c r="X9" s="50">
        <v>24</v>
      </c>
      <c r="Y9" s="50">
        <v>25</v>
      </c>
      <c r="Z9" s="50">
        <v>26</v>
      </c>
      <c r="AA9" s="50">
        <v>27</v>
      </c>
      <c r="AB9" s="50">
        <v>28</v>
      </c>
      <c r="AC9" s="50">
        <v>29</v>
      </c>
      <c r="AD9" s="50">
        <v>30</v>
      </c>
      <c r="AE9" s="50">
        <v>31</v>
      </c>
      <c r="AF9" s="50">
        <v>32</v>
      </c>
      <c r="AG9" s="50">
        <v>33</v>
      </c>
      <c r="AH9" s="50">
        <v>34</v>
      </c>
      <c r="AI9" s="50">
        <v>35</v>
      </c>
      <c r="AJ9" s="50">
        <v>36</v>
      </c>
      <c r="AK9" s="50">
        <v>37</v>
      </c>
      <c r="AL9" s="43">
        <v>39</v>
      </c>
      <c r="AM9" s="43">
        <v>40</v>
      </c>
      <c r="AN9" s="43">
        <v>41</v>
      </c>
    </row>
    <row r="10" spans="1:40" ht="30" customHeight="1" x14ac:dyDescent="0.25">
      <c r="A10" s="32">
        <v>1</v>
      </c>
      <c r="B10" s="51">
        <v>1612003</v>
      </c>
      <c r="C10" s="24" t="s">
        <v>79</v>
      </c>
      <c r="D10" s="39" t="s">
        <v>81</v>
      </c>
      <c r="E10" s="12"/>
      <c r="F10" s="39"/>
      <c r="G10" s="12" t="s">
        <v>80</v>
      </c>
      <c r="H10" s="57" t="s">
        <v>89</v>
      </c>
      <c r="I10" s="40"/>
      <c r="J10" s="25">
        <v>7000000</v>
      </c>
      <c r="K10" s="26">
        <v>1200000</v>
      </c>
      <c r="L10" s="26"/>
      <c r="M10" s="27">
        <v>300000</v>
      </c>
      <c r="N10" s="26"/>
      <c r="O10" s="25">
        <f>'[1]Master Lembur'!K16</f>
        <v>0</v>
      </c>
      <c r="P10" s="28">
        <v>0</v>
      </c>
      <c r="Q10" s="28"/>
      <c r="R10" s="28">
        <f>SUM(K10:Q10)</f>
        <v>1500000</v>
      </c>
      <c r="S10" s="28">
        <f>4%*(J10+K10+L10)</f>
        <v>328000</v>
      </c>
      <c r="T10" s="25">
        <f>1%*(J10+K10+L10)</f>
        <v>82000</v>
      </c>
      <c r="U10" s="27"/>
      <c r="V10" s="28">
        <f>0.24%*(J10+K10+L10)</f>
        <v>19680</v>
      </c>
      <c r="W10" s="28">
        <f>0.3%*(J10+K10+L10)</f>
        <v>24600</v>
      </c>
      <c r="X10" s="28">
        <f>3.7%*(J10+K10+L10)</f>
        <v>303400.00000000006</v>
      </c>
      <c r="Y10" s="28">
        <f>2%*(J10+K10+L10)</f>
        <v>164000</v>
      </c>
      <c r="Z10" s="25">
        <f>3%*(J10+K10+L10)</f>
        <v>246000</v>
      </c>
      <c r="AA10" s="30">
        <v>50000</v>
      </c>
      <c r="AB10" s="31">
        <v>0</v>
      </c>
      <c r="AC10" s="31">
        <v>0</v>
      </c>
      <c r="AD10" s="31">
        <v>557500</v>
      </c>
      <c r="AE10" s="31"/>
      <c r="AF10" s="41"/>
      <c r="AG10" s="41"/>
      <c r="AH10" s="41">
        <f>T10+U10+Z10+AA10+AB10+AC10+AD10+AE10+AF10+AG10</f>
        <v>935500</v>
      </c>
      <c r="AI10" s="26">
        <f>J10+R10-AH10</f>
        <v>7564500</v>
      </c>
      <c r="AJ10" s="58"/>
      <c r="AK10" s="32"/>
      <c r="AL10" s="14"/>
    </row>
    <row r="11" spans="1:40" ht="30" customHeight="1" x14ac:dyDescent="0.25">
      <c r="A11" s="32">
        <v>2</v>
      </c>
      <c r="B11" s="51">
        <v>1612004</v>
      </c>
      <c r="C11" s="24" t="s">
        <v>77</v>
      </c>
      <c r="D11" s="39" t="s">
        <v>82</v>
      </c>
      <c r="E11" s="12"/>
      <c r="F11" s="12"/>
      <c r="G11" s="29" t="s">
        <v>63</v>
      </c>
      <c r="H11" s="57" t="s">
        <v>90</v>
      </c>
      <c r="I11" s="40"/>
      <c r="J11" s="25">
        <v>3500000</v>
      </c>
      <c r="K11" s="26">
        <v>1000000</v>
      </c>
      <c r="L11" s="26"/>
      <c r="M11" s="27">
        <v>300000</v>
      </c>
      <c r="N11" s="27"/>
      <c r="O11" s="25">
        <f>'[1]Master Lembur'!K17</f>
        <v>0</v>
      </c>
      <c r="P11" s="28">
        <v>0</v>
      </c>
      <c r="Q11" s="28"/>
      <c r="R11" s="28">
        <f t="shared" ref="R11:R14" si="0">SUM(K11:Q11)</f>
        <v>1300000</v>
      </c>
      <c r="S11" s="28">
        <f t="shared" ref="S11:S14" si="1">4%*(J11+K11+L11)</f>
        <v>180000</v>
      </c>
      <c r="T11" s="25">
        <f t="shared" ref="T11:T14" si="2">1%*(J11+K11+L11)</f>
        <v>45000</v>
      </c>
      <c r="U11" s="27"/>
      <c r="V11" s="28">
        <f t="shared" ref="V11:V14" si="3">0.24%*(J11+K11+L11)</f>
        <v>10799.999999999998</v>
      </c>
      <c r="W11" s="28">
        <f t="shared" ref="W11:W14" si="4">0.3%*(J11+K11+L11)</f>
        <v>13500</v>
      </c>
      <c r="X11" s="28">
        <f t="shared" ref="X11:X14" si="5">3.7%*(J11+K11+L11)</f>
        <v>166500.00000000003</v>
      </c>
      <c r="Y11" s="28">
        <f t="shared" ref="Y11:Y14" si="6">2%*(J11+K11+L11)</f>
        <v>90000</v>
      </c>
      <c r="Z11" s="25">
        <f t="shared" ref="Z11:Z14" si="7">3%*(J11+K11+L11)</f>
        <v>135000</v>
      </c>
      <c r="AA11" s="30">
        <v>140000</v>
      </c>
      <c r="AB11" s="31">
        <v>0</v>
      </c>
      <c r="AC11" s="31">
        <v>0</v>
      </c>
      <c r="AD11" s="31">
        <v>245000</v>
      </c>
      <c r="AE11" s="31"/>
      <c r="AF11" s="42"/>
      <c r="AG11" s="41"/>
      <c r="AH11" s="41">
        <f t="shared" ref="AH11:AH14" si="8">T11+U11+Z11+AA11+AB11+AC11+AD11+AE11+AF11+AG11</f>
        <v>565000</v>
      </c>
      <c r="AI11" s="26">
        <f t="shared" ref="AI11:AI14" si="9">J11+R11-AH11</f>
        <v>4235000</v>
      </c>
      <c r="AJ11" s="58"/>
      <c r="AK11" s="32"/>
      <c r="AL11" s="14"/>
    </row>
    <row r="12" spans="1:40" ht="30" customHeight="1" x14ac:dyDescent="0.25">
      <c r="A12" s="32">
        <v>3</v>
      </c>
      <c r="B12" s="51">
        <v>1612005</v>
      </c>
      <c r="C12" s="24" t="s">
        <v>78</v>
      </c>
      <c r="D12" s="39" t="s">
        <v>84</v>
      </c>
      <c r="E12" s="12"/>
      <c r="F12" s="29"/>
      <c r="G12" s="29" t="s">
        <v>83</v>
      </c>
      <c r="H12" s="57" t="s">
        <v>91</v>
      </c>
      <c r="I12" s="40"/>
      <c r="J12" s="25">
        <v>2500000</v>
      </c>
      <c r="K12" s="26"/>
      <c r="L12" s="26">
        <v>200000</v>
      </c>
      <c r="M12" s="27">
        <v>300000</v>
      </c>
      <c r="N12" s="27"/>
      <c r="O12" s="25">
        <f>'[1]Master Lembur'!K18</f>
        <v>0</v>
      </c>
      <c r="P12" s="28">
        <v>0</v>
      </c>
      <c r="Q12" s="28"/>
      <c r="R12" s="28">
        <f t="shared" si="0"/>
        <v>500000</v>
      </c>
      <c r="S12" s="28">
        <f t="shared" si="1"/>
        <v>108000</v>
      </c>
      <c r="T12" s="25">
        <f t="shared" si="2"/>
        <v>27000</v>
      </c>
      <c r="U12" s="27"/>
      <c r="V12" s="28">
        <f t="shared" si="3"/>
        <v>6479.9999999999991</v>
      </c>
      <c r="W12" s="28">
        <f t="shared" si="4"/>
        <v>8100</v>
      </c>
      <c r="X12" s="28">
        <f t="shared" si="5"/>
        <v>99900.000000000015</v>
      </c>
      <c r="Y12" s="28">
        <f t="shared" si="6"/>
        <v>54000</v>
      </c>
      <c r="Z12" s="25">
        <f t="shared" si="7"/>
        <v>81000</v>
      </c>
      <c r="AA12" s="30">
        <v>50000</v>
      </c>
      <c r="AB12" s="31">
        <v>0</v>
      </c>
      <c r="AC12" s="31">
        <v>0</v>
      </c>
      <c r="AD12" s="31">
        <v>20000</v>
      </c>
      <c r="AE12" s="31"/>
      <c r="AF12" s="41"/>
      <c r="AG12" s="41"/>
      <c r="AH12" s="41">
        <f t="shared" si="8"/>
        <v>178000</v>
      </c>
      <c r="AI12" s="26">
        <f t="shared" si="9"/>
        <v>2822000</v>
      </c>
      <c r="AJ12" s="58"/>
      <c r="AK12" s="32"/>
      <c r="AL12" s="14"/>
    </row>
    <row r="13" spans="1:40" ht="30" customHeight="1" x14ac:dyDescent="0.25">
      <c r="A13" s="32">
        <v>4</v>
      </c>
      <c r="B13" s="51">
        <v>1702005</v>
      </c>
      <c r="C13" s="24" t="s">
        <v>76</v>
      </c>
      <c r="D13" s="39" t="s">
        <v>82</v>
      </c>
      <c r="E13" s="12"/>
      <c r="F13" s="12"/>
      <c r="G13" s="29" t="s">
        <v>64</v>
      </c>
      <c r="H13" s="57" t="s">
        <v>92</v>
      </c>
      <c r="I13" s="40"/>
      <c r="J13" s="25">
        <v>2800000</v>
      </c>
      <c r="K13" s="26"/>
      <c r="L13" s="26">
        <v>800000</v>
      </c>
      <c r="M13" s="27">
        <v>300000</v>
      </c>
      <c r="N13" s="27"/>
      <c r="O13" s="25">
        <f>'[1]Master Lembur'!K19</f>
        <v>0</v>
      </c>
      <c r="P13" s="28">
        <v>0</v>
      </c>
      <c r="Q13" s="28"/>
      <c r="R13" s="28">
        <f t="shared" si="0"/>
        <v>1100000</v>
      </c>
      <c r="S13" s="28">
        <f t="shared" si="1"/>
        <v>144000</v>
      </c>
      <c r="T13" s="25">
        <f t="shared" si="2"/>
        <v>36000</v>
      </c>
      <c r="U13" s="27"/>
      <c r="V13" s="28">
        <f t="shared" si="3"/>
        <v>8640</v>
      </c>
      <c r="W13" s="28">
        <f t="shared" si="4"/>
        <v>10800</v>
      </c>
      <c r="X13" s="28">
        <f t="shared" si="5"/>
        <v>133200.00000000003</v>
      </c>
      <c r="Y13" s="28">
        <f t="shared" si="6"/>
        <v>72000</v>
      </c>
      <c r="Z13" s="25">
        <f t="shared" si="7"/>
        <v>108000</v>
      </c>
      <c r="AA13" s="30">
        <v>220000</v>
      </c>
      <c r="AB13" s="31">
        <v>0</v>
      </c>
      <c r="AC13" s="31">
        <v>0</v>
      </c>
      <c r="AD13" s="31">
        <v>20000</v>
      </c>
      <c r="AE13" s="31"/>
      <c r="AF13" s="41"/>
      <c r="AG13" s="41"/>
      <c r="AH13" s="41">
        <f t="shared" si="8"/>
        <v>384000</v>
      </c>
      <c r="AI13" s="26">
        <f t="shared" si="9"/>
        <v>3516000</v>
      </c>
      <c r="AJ13" s="58"/>
      <c r="AK13" s="32"/>
      <c r="AL13" s="14"/>
    </row>
    <row r="14" spans="1:40" ht="30" customHeight="1" x14ac:dyDescent="0.25">
      <c r="A14" s="32">
        <v>5</v>
      </c>
      <c r="B14" s="51">
        <v>1703001</v>
      </c>
      <c r="C14" s="24" t="s">
        <v>75</v>
      </c>
      <c r="D14" s="39" t="s">
        <v>85</v>
      </c>
      <c r="E14" s="12"/>
      <c r="F14" s="12"/>
      <c r="G14" s="29" t="s">
        <v>65</v>
      </c>
      <c r="H14" s="57" t="s">
        <v>93</v>
      </c>
      <c r="I14" s="40"/>
      <c r="J14" s="25">
        <v>3100000</v>
      </c>
      <c r="K14" s="26"/>
      <c r="L14" s="26">
        <v>800000</v>
      </c>
      <c r="M14" s="27">
        <v>300000</v>
      </c>
      <c r="N14" s="27"/>
      <c r="O14" s="25">
        <f>'[1]Master Lembur'!K20</f>
        <v>0</v>
      </c>
      <c r="P14" s="28">
        <v>0</v>
      </c>
      <c r="Q14" s="28"/>
      <c r="R14" s="28">
        <f t="shared" si="0"/>
        <v>1100000</v>
      </c>
      <c r="S14" s="28">
        <f t="shared" si="1"/>
        <v>156000</v>
      </c>
      <c r="T14" s="25">
        <f t="shared" si="2"/>
        <v>39000</v>
      </c>
      <c r="U14" s="27"/>
      <c r="V14" s="28">
        <f t="shared" si="3"/>
        <v>9360</v>
      </c>
      <c r="W14" s="28">
        <f t="shared" si="4"/>
        <v>11700</v>
      </c>
      <c r="X14" s="28">
        <f t="shared" si="5"/>
        <v>144300.00000000003</v>
      </c>
      <c r="Y14" s="28">
        <f t="shared" si="6"/>
        <v>78000</v>
      </c>
      <c r="Z14" s="25">
        <f t="shared" si="7"/>
        <v>117000</v>
      </c>
      <c r="AA14" s="30">
        <v>0</v>
      </c>
      <c r="AB14" s="31">
        <v>0</v>
      </c>
      <c r="AC14" s="31">
        <v>0</v>
      </c>
      <c r="AD14" s="31">
        <v>132500</v>
      </c>
      <c r="AE14" s="31"/>
      <c r="AF14" s="41"/>
      <c r="AG14" s="41"/>
      <c r="AH14" s="41">
        <f t="shared" si="8"/>
        <v>288500</v>
      </c>
      <c r="AI14" s="26">
        <f t="shared" si="9"/>
        <v>3911500</v>
      </c>
      <c r="AJ14" s="58"/>
      <c r="AK14" s="32"/>
      <c r="AL14" s="14"/>
    </row>
    <row r="15" spans="1:40" x14ac:dyDescent="0.25">
      <c r="AJ15" s="59"/>
    </row>
    <row r="16" spans="1:40" x14ac:dyDescent="0.25">
      <c r="AJ16" s="59"/>
    </row>
  </sheetData>
  <mergeCells count="32">
    <mergeCell ref="A1:B1"/>
    <mergeCell ref="A2:B2"/>
    <mergeCell ref="A3:B3"/>
    <mergeCell ref="A6:A8"/>
    <mergeCell ref="B6:B8"/>
    <mergeCell ref="C6:C8"/>
    <mergeCell ref="D6:D8"/>
    <mergeCell ref="R6:R8"/>
    <mergeCell ref="E6:E8"/>
    <mergeCell ref="K7:M7"/>
    <mergeCell ref="Q7:Q8"/>
    <mergeCell ref="H6:H8"/>
    <mergeCell ref="G6:G8"/>
    <mergeCell ref="J6:J8"/>
    <mergeCell ref="K6:Q6"/>
    <mergeCell ref="N7:N8"/>
    <mergeCell ref="O7:O8"/>
    <mergeCell ref="P7:P8"/>
    <mergeCell ref="AK6:AK8"/>
    <mergeCell ref="AG7:AG8"/>
    <mergeCell ref="S7:U7"/>
    <mergeCell ref="V7:Z7"/>
    <mergeCell ref="AA7:AA8"/>
    <mergeCell ref="AE7:AE8"/>
    <mergeCell ref="AF7:AF8"/>
    <mergeCell ref="AJ6:AJ8"/>
    <mergeCell ref="S6:AG6"/>
    <mergeCell ref="AI6:AI8"/>
    <mergeCell ref="AH6:AH8"/>
    <mergeCell ref="AB7:AB8"/>
    <mergeCell ref="AC7:AC8"/>
    <mergeCell ref="AD7:AD8"/>
  </mergeCells>
  <conditionalFormatting sqref="F12">
    <cfRule type="expression" dxfId="1" priority="30">
      <formula>$O12="Tidak Aktif"</formula>
    </cfRule>
  </conditionalFormatting>
  <conditionalFormatting sqref="G11:G14">
    <cfRule type="expression" dxfId="0" priority="10">
      <formula>$M11="Tidak Aktif"</formula>
    </cfRule>
  </conditionalFormatting>
  <pageMargins left="0.70866141732283472" right="0.70866141732283472" top="0.74803149606299213" bottom="0.74803149606299213" header="0.31496062992125984" footer="0.31496062992125984"/>
  <pageSetup paperSize="5" scale="50" orientation="landscape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'D:\PINGKAN 2025\Strategy\Penggajian\2025\[250130 Gaji Karyawan RS dan PT Januari 2025 - Revisi.xlsx]Data Bisnis'!#REF!</xm:f>
          </x14:formula1>
          <xm:sqref>G129:G134 G193 G212 G10:G68 G220 G210 G222 G70:G125 G224:G226 G228 G234 G236 G137:G189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9"/>
  <sheetViews>
    <sheetView topLeftCell="A16" zoomScale="85" zoomScaleNormal="85" workbookViewId="0">
      <selection activeCell="O31" sqref="O31"/>
    </sheetView>
  </sheetViews>
  <sheetFormatPr defaultRowHeight="15" x14ac:dyDescent="0.25"/>
  <cols>
    <col min="2" max="2" width="13.28515625" customWidth="1"/>
    <col min="3" max="3" width="1.5703125" bestFit="1" customWidth="1"/>
    <col min="7" max="7" width="0.42578125" customWidth="1"/>
    <col min="9" max="9" width="1.5703125" bestFit="1" customWidth="1"/>
    <col min="11" max="11" width="23.42578125" customWidth="1"/>
  </cols>
  <sheetData>
    <row r="1" spans="1:13" ht="26.25" x14ac:dyDescent="0.25">
      <c r="A1" s="97" t="s">
        <v>27</v>
      </c>
      <c r="B1" s="97"/>
      <c r="C1" s="97"/>
      <c r="D1" s="97"/>
      <c r="E1" s="97"/>
      <c r="F1" s="97"/>
      <c r="G1" s="97"/>
      <c r="H1" s="97"/>
      <c r="I1" s="97"/>
      <c r="J1" s="97"/>
      <c r="K1" s="97"/>
    </row>
    <row r="2" spans="1:13" ht="26.25" x14ac:dyDescent="0.25">
      <c r="A2" s="98" t="s">
        <v>28</v>
      </c>
      <c r="B2" s="98"/>
      <c r="C2" s="98"/>
      <c r="D2" s="98"/>
      <c r="E2" s="98"/>
      <c r="F2" s="98"/>
      <c r="G2" s="98"/>
      <c r="H2" s="98"/>
      <c r="I2" s="98"/>
      <c r="J2" s="98"/>
      <c r="K2" s="98"/>
    </row>
    <row r="3" spans="1:13" ht="21" x14ac:dyDescent="0.25">
      <c r="A3" s="99" t="s">
        <v>29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3" ht="16.5" thickBot="1" x14ac:dyDescent="0.3">
      <c r="A4" s="95" t="s">
        <v>30</v>
      </c>
      <c r="B4" s="95"/>
      <c r="C4" s="48" t="s">
        <v>32</v>
      </c>
      <c r="D4" s="52">
        <v>2025</v>
      </c>
      <c r="E4" s="53"/>
      <c r="F4" s="53"/>
      <c r="G4" s="53"/>
      <c r="H4" s="2" t="s">
        <v>41</v>
      </c>
      <c r="I4" s="2" t="s">
        <v>32</v>
      </c>
      <c r="J4" s="95" t="s">
        <v>74</v>
      </c>
      <c r="K4" s="95"/>
      <c r="M4" s="11" t="s">
        <v>40</v>
      </c>
    </row>
    <row r="5" spans="1:13" s="13" customFormat="1" ht="32.25" customHeight="1" thickBot="1" x14ac:dyDescent="0.3">
      <c r="A5" s="101" t="s">
        <v>73</v>
      </c>
      <c r="B5" s="101"/>
      <c r="C5" s="46" t="s">
        <v>32</v>
      </c>
      <c r="D5" s="101" t="str">
        <f>VLOOKUP('Slip Gaji Cetak'!M5,'Gaji RS'!A10:AG14,7)</f>
        <v>HRD</v>
      </c>
      <c r="E5" s="101"/>
      <c r="F5" s="101"/>
      <c r="G5" s="101"/>
      <c r="H5" s="22" t="s">
        <v>42</v>
      </c>
      <c r="I5" s="22" t="s">
        <v>32</v>
      </c>
      <c r="J5" s="101" t="str">
        <f>VLOOKUP('Slip Gaji Cetak'!M5,'Gaji RS'!A10:AK24,3)</f>
        <v>Atika Rahim , S.H</v>
      </c>
      <c r="K5" s="101"/>
      <c r="M5" s="23">
        <v>1</v>
      </c>
    </row>
    <row r="6" spans="1:13" ht="15.75" x14ac:dyDescent="0.25">
      <c r="A6" s="102" t="s">
        <v>31</v>
      </c>
      <c r="B6" s="102"/>
      <c r="C6" s="3" t="s">
        <v>32</v>
      </c>
      <c r="D6" s="3"/>
      <c r="E6" s="54"/>
      <c r="F6" s="54"/>
      <c r="G6" s="54"/>
      <c r="H6" s="54"/>
      <c r="I6" s="54"/>
      <c r="J6" s="103">
        <f>VLOOKUP('Slip Gaji Cetak'!M5,'Gaji RS'!A10:AG24,10)</f>
        <v>7000000</v>
      </c>
      <c r="K6" s="103"/>
    </row>
    <row r="7" spans="1:13" ht="15.75" x14ac:dyDescent="0.25">
      <c r="A7" s="94" t="s">
        <v>53</v>
      </c>
      <c r="B7" s="94"/>
      <c r="C7" s="3" t="s">
        <v>32</v>
      </c>
      <c r="D7" s="3"/>
      <c r="E7" s="54"/>
      <c r="F7" s="54"/>
      <c r="G7" s="54"/>
      <c r="H7" s="54"/>
      <c r="I7" s="54"/>
      <c r="J7" s="93">
        <f>VLOOKUP('Slip Gaji Cetak'!M5,'Gaji RS'!A10:AG24,11)</f>
        <v>1200000</v>
      </c>
      <c r="K7" s="93"/>
    </row>
    <row r="8" spans="1:13" ht="15.75" x14ac:dyDescent="0.25">
      <c r="A8" s="94" t="s">
        <v>54</v>
      </c>
      <c r="B8" s="94"/>
      <c r="C8" s="3" t="s">
        <v>32</v>
      </c>
      <c r="D8" s="3"/>
      <c r="E8" s="54"/>
      <c r="F8" s="54"/>
      <c r="G8" s="54"/>
      <c r="H8" s="54"/>
      <c r="I8" s="54"/>
      <c r="J8" s="93">
        <f>VLOOKUP('Slip Gaji Cetak'!M5,'Gaji RS'!A10:AG24,12)</f>
        <v>0</v>
      </c>
      <c r="K8" s="93"/>
    </row>
    <row r="9" spans="1:13" ht="15.75" x14ac:dyDescent="0.25">
      <c r="A9" s="94" t="s">
        <v>66</v>
      </c>
      <c r="B9" s="94"/>
      <c r="C9" s="54" t="s">
        <v>32</v>
      </c>
      <c r="D9" s="54"/>
      <c r="E9" s="54"/>
      <c r="F9" s="54"/>
      <c r="G9" s="54"/>
      <c r="H9" s="54"/>
      <c r="I9" s="54"/>
      <c r="J9" s="93">
        <f>VLOOKUP('Slip Gaji Cetak'!M5,'Gaji RS'!A10:AG24,13)</f>
        <v>300000</v>
      </c>
      <c r="K9" s="93"/>
    </row>
    <row r="10" spans="1:13" ht="15.75" x14ac:dyDescent="0.25">
      <c r="A10" s="94" t="s">
        <v>51</v>
      </c>
      <c r="B10" s="94"/>
      <c r="C10" s="54" t="s">
        <v>32</v>
      </c>
      <c r="D10" s="54"/>
      <c r="E10" s="54"/>
      <c r="F10" s="54"/>
      <c r="G10" s="54"/>
      <c r="H10" s="54"/>
      <c r="I10" s="54"/>
      <c r="J10" s="93">
        <f>VLOOKUP('Slip Gaji Cetak'!M5,'Gaji RS'!A10:AG24,14)</f>
        <v>0</v>
      </c>
      <c r="K10" s="93"/>
    </row>
    <row r="11" spans="1:13" ht="15.75" x14ac:dyDescent="0.25">
      <c r="A11" s="92" t="s">
        <v>34</v>
      </c>
      <c r="B11" s="92"/>
      <c r="C11" s="54" t="s">
        <v>32</v>
      </c>
      <c r="D11" s="54"/>
      <c r="E11" s="54"/>
      <c r="F11" s="54"/>
      <c r="G11" s="54"/>
      <c r="H11" s="54"/>
      <c r="I11" s="54"/>
      <c r="J11" s="93">
        <f>VLOOKUP('Slip Gaji Cetak'!M5,'Gaji RS'!A10:AG24,15)</f>
        <v>0</v>
      </c>
      <c r="K11" s="93"/>
    </row>
    <row r="12" spans="1:13" ht="15.75" x14ac:dyDescent="0.25">
      <c r="A12" s="94" t="s">
        <v>33</v>
      </c>
      <c r="B12" s="94"/>
      <c r="C12" s="3" t="s">
        <v>32</v>
      </c>
      <c r="D12" s="3"/>
      <c r="E12" s="54"/>
      <c r="F12" s="54"/>
      <c r="G12" s="54"/>
      <c r="H12" s="54"/>
      <c r="I12" s="54"/>
      <c r="J12" s="93">
        <f>VLOOKUP('Slip Gaji Cetak'!M5,'Gaji RS'!A10:AG24,16)</f>
        <v>0</v>
      </c>
      <c r="K12" s="93"/>
    </row>
    <row r="13" spans="1:13" ht="16.5" thickBot="1" x14ac:dyDescent="0.3">
      <c r="A13" s="95" t="s">
        <v>48</v>
      </c>
      <c r="B13" s="95"/>
      <c r="C13" s="2" t="s">
        <v>32</v>
      </c>
      <c r="D13" s="2"/>
      <c r="E13" s="53"/>
      <c r="F13" s="53"/>
      <c r="G13" s="53"/>
      <c r="H13" s="53"/>
      <c r="I13" s="53"/>
      <c r="J13" s="96">
        <f>VLOOKUP('Slip Gaji Cetak'!M5,'Gaji RS'!A10:AG24,17)</f>
        <v>0</v>
      </c>
      <c r="K13" s="96"/>
    </row>
    <row r="14" spans="1:13" ht="16.5" thickBot="1" x14ac:dyDescent="0.3">
      <c r="A14" s="4" t="s">
        <v>35</v>
      </c>
      <c r="B14" s="53"/>
      <c r="C14" s="2" t="s">
        <v>32</v>
      </c>
      <c r="D14" s="2"/>
      <c r="E14" s="53"/>
      <c r="F14" s="53"/>
      <c r="G14" s="53"/>
      <c r="H14" s="53"/>
      <c r="I14" s="53"/>
      <c r="J14" s="91">
        <f>SUM(J6:K13)</f>
        <v>8500000</v>
      </c>
      <c r="K14" s="91"/>
    </row>
    <row r="15" spans="1:13" ht="15.75" x14ac:dyDescent="0.25">
      <c r="A15" s="102" t="s">
        <v>36</v>
      </c>
      <c r="B15" s="102"/>
      <c r="C15" s="47" t="s">
        <v>32</v>
      </c>
      <c r="D15" s="102" t="s">
        <v>68</v>
      </c>
      <c r="E15" s="102"/>
      <c r="F15" s="102"/>
      <c r="G15" s="102"/>
      <c r="H15" s="102"/>
      <c r="I15" s="47"/>
      <c r="J15" s="103">
        <f>VLOOKUP('Slip Gaji Cetak'!M5,'Gaji RS'!A10:AG24,26)</f>
        <v>246000</v>
      </c>
      <c r="K15" s="103"/>
    </row>
    <row r="16" spans="1:13" ht="15.75" x14ac:dyDescent="0.25">
      <c r="A16" s="5"/>
      <c r="B16" s="54"/>
      <c r="C16" s="3" t="s">
        <v>32</v>
      </c>
      <c r="D16" s="84" t="s">
        <v>69</v>
      </c>
      <c r="E16" s="84"/>
      <c r="F16" s="84"/>
      <c r="G16" s="84"/>
      <c r="H16" s="84"/>
      <c r="I16" s="55"/>
      <c r="J16" s="85">
        <f>VLOOKUP('Slip Gaji Cetak'!M5,'Gaji RS'!A10:AG24,20)</f>
        <v>82000</v>
      </c>
      <c r="K16" s="85"/>
    </row>
    <row r="17" spans="1:11" ht="15.75" x14ac:dyDescent="0.25">
      <c r="A17" s="5"/>
      <c r="B17" s="54"/>
      <c r="C17" s="3" t="s">
        <v>32</v>
      </c>
      <c r="D17" s="84" t="s">
        <v>56</v>
      </c>
      <c r="E17" s="84"/>
      <c r="F17" s="84"/>
      <c r="G17" s="84"/>
      <c r="H17" s="84"/>
      <c r="I17" s="55"/>
      <c r="J17" s="85">
        <f>VLOOKUP('Slip Gaji Cetak'!M5,'Gaji RS'!A10:AG24,21)</f>
        <v>0</v>
      </c>
      <c r="K17" s="85"/>
    </row>
    <row r="18" spans="1:11" ht="15.75" x14ac:dyDescent="0.25">
      <c r="A18" s="5"/>
      <c r="B18" s="54"/>
      <c r="C18" s="3" t="s">
        <v>32</v>
      </c>
      <c r="D18" s="55" t="s">
        <v>59</v>
      </c>
      <c r="E18" s="55"/>
      <c r="F18" s="55"/>
      <c r="G18" s="55"/>
      <c r="H18" s="55"/>
      <c r="I18" s="55"/>
      <c r="J18" s="85">
        <f>VLOOKUP('Slip Gaji Cetak'!M5,'Gaji RS'!A10:AG24,27)</f>
        <v>50000</v>
      </c>
      <c r="K18" s="85"/>
    </row>
    <row r="19" spans="1:11" ht="15.75" x14ac:dyDescent="0.25">
      <c r="A19" s="5"/>
      <c r="B19" s="54"/>
      <c r="C19" s="3" t="s">
        <v>32</v>
      </c>
      <c r="D19" s="55" t="s">
        <v>70</v>
      </c>
      <c r="E19" s="55"/>
      <c r="F19" s="55"/>
      <c r="G19" s="55"/>
      <c r="H19" s="55"/>
      <c r="I19" s="55"/>
      <c r="J19" s="85">
        <f>VLOOKUP('Slip Gaji Cetak'!M5,'Gaji RS'!A10:AG24,28)</f>
        <v>0</v>
      </c>
      <c r="K19" s="85"/>
    </row>
    <row r="20" spans="1:11" ht="15.75" x14ac:dyDescent="0.25">
      <c r="A20" s="5"/>
      <c r="B20" s="54"/>
      <c r="C20" s="3" t="s">
        <v>32</v>
      </c>
      <c r="D20" s="55" t="s">
        <v>71</v>
      </c>
      <c r="E20" s="55"/>
      <c r="F20" s="55"/>
      <c r="G20" s="55"/>
      <c r="H20" s="55"/>
      <c r="I20" s="55"/>
      <c r="J20" s="85">
        <f>VLOOKUP('Slip Gaji Cetak'!M5,'Gaji RS'!A10:AG24,31)</f>
        <v>0</v>
      </c>
      <c r="K20" s="85"/>
    </row>
    <row r="21" spans="1:11" ht="15.75" x14ac:dyDescent="0.25">
      <c r="A21" s="5"/>
      <c r="B21" s="54"/>
      <c r="C21" s="3" t="s">
        <v>32</v>
      </c>
      <c r="D21" s="54" t="s">
        <v>72</v>
      </c>
      <c r="E21" s="54"/>
      <c r="F21" s="55"/>
      <c r="G21" s="55"/>
      <c r="H21" s="55"/>
      <c r="I21" s="55"/>
      <c r="J21" s="85">
        <f>VLOOKUP('Slip Gaji Cetak'!M5,'Gaji RS'!A10:AG24,29)</f>
        <v>0</v>
      </c>
      <c r="K21" s="85"/>
    </row>
    <row r="22" spans="1:11" ht="15.75" x14ac:dyDescent="0.25">
      <c r="A22" s="5"/>
      <c r="B22" s="54"/>
      <c r="C22" s="3" t="s">
        <v>32</v>
      </c>
      <c r="D22" s="55" t="s">
        <v>62</v>
      </c>
      <c r="E22" s="55"/>
      <c r="F22" s="55"/>
      <c r="G22" s="55"/>
      <c r="H22" s="55"/>
      <c r="I22" s="55"/>
      <c r="J22" s="85">
        <f>VLOOKUP('Slip Gaji Cetak'!M5,'Gaji RS'!A10:AG24,30)</f>
        <v>557500</v>
      </c>
      <c r="K22" s="85"/>
    </row>
    <row r="23" spans="1:11" ht="15.75" x14ac:dyDescent="0.25">
      <c r="A23" s="3" t="s">
        <v>37</v>
      </c>
      <c r="B23" s="54"/>
      <c r="C23" s="54" t="s">
        <v>32</v>
      </c>
      <c r="D23" s="84" t="s">
        <v>43</v>
      </c>
      <c r="E23" s="84"/>
      <c r="F23" s="84"/>
      <c r="G23" s="84"/>
      <c r="H23" s="84"/>
      <c r="I23" s="55"/>
      <c r="J23" s="85">
        <f>VLOOKUP('Slip Gaji Cetak'!M5,'Gaji RS'!A10:AG24,32)</f>
        <v>0</v>
      </c>
      <c r="K23" s="85"/>
    </row>
    <row r="24" spans="1:11" ht="16.5" thickBot="1" x14ac:dyDescent="0.3">
      <c r="A24" s="3"/>
      <c r="B24" s="54"/>
      <c r="C24" s="54" t="s">
        <v>32</v>
      </c>
      <c r="D24" s="55" t="s">
        <v>48</v>
      </c>
      <c r="E24" s="55"/>
      <c r="F24" s="55"/>
      <c r="G24" s="55"/>
      <c r="H24" s="55"/>
      <c r="I24" s="55"/>
      <c r="J24" s="85">
        <f>VLOOKUP('Slip Gaji Cetak'!M5,'Gaji RS'!A10:AG24,33)</f>
        <v>0</v>
      </c>
      <c r="K24" s="85"/>
    </row>
    <row r="25" spans="1:11" ht="16.5" thickBot="1" x14ac:dyDescent="0.3">
      <c r="A25" s="87" t="s">
        <v>61</v>
      </c>
      <c r="B25" s="88"/>
      <c r="C25" s="88"/>
      <c r="D25" s="88"/>
      <c r="E25" s="88"/>
      <c r="F25" s="88"/>
      <c r="G25" s="88"/>
      <c r="H25" s="88"/>
      <c r="I25" s="49"/>
      <c r="J25" s="89">
        <f>J14-J15-J16-J17-J18-J19-J20-J21-J22-J23-J24</f>
        <v>7564500</v>
      </c>
      <c r="K25" s="89"/>
    </row>
    <row r="26" spans="1:11" ht="15.75" x14ac:dyDescent="0.25">
      <c r="A26" s="6"/>
      <c r="B26" s="7"/>
      <c r="C26" s="7"/>
      <c r="D26" s="7"/>
      <c r="E26" s="6"/>
      <c r="F26" s="6"/>
      <c r="G26" s="6"/>
      <c r="H26" s="6"/>
      <c r="I26" s="6"/>
      <c r="J26" s="8"/>
      <c r="K26" s="8"/>
    </row>
    <row r="27" spans="1:11" ht="15.75" x14ac:dyDescent="0.25">
      <c r="A27" s="9"/>
      <c r="B27" s="90" t="s">
        <v>55</v>
      </c>
      <c r="C27" s="90"/>
      <c r="D27" s="90"/>
      <c r="J27" s="10"/>
    </row>
    <row r="28" spans="1:11" ht="15.75" x14ac:dyDescent="0.25">
      <c r="A28" s="90" t="s">
        <v>94</v>
      </c>
      <c r="B28" s="90"/>
      <c r="C28" s="90"/>
      <c r="D28" s="90"/>
      <c r="E28" s="90"/>
      <c r="H28" s="90" t="s">
        <v>38</v>
      </c>
      <c r="I28" s="90"/>
      <c r="J28" s="90"/>
      <c r="K28" s="90"/>
    </row>
    <row r="29" spans="1:11" ht="15.75" x14ac:dyDescent="0.25">
      <c r="A29" s="3"/>
    </row>
    <row r="30" spans="1:11" ht="15.75" x14ac:dyDescent="0.25">
      <c r="A30" s="3"/>
    </row>
    <row r="31" spans="1:11" ht="28.5" customHeight="1" x14ac:dyDescent="0.25">
      <c r="F31" s="3" t="s">
        <v>39</v>
      </c>
      <c r="G31" s="86" t="str">
        <f>J5</f>
        <v>Atika Rahim , S.H</v>
      </c>
      <c r="H31" s="86"/>
      <c r="I31" s="86"/>
      <c r="J31" s="86"/>
      <c r="K31" s="86"/>
    </row>
    <row r="32" spans="1:11" ht="15.75" thickBot="1" x14ac:dyDescent="0.3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</row>
    <row r="36" spans="2:11" ht="31.5" customHeight="1" x14ac:dyDescent="0.25">
      <c r="B36" s="100"/>
      <c r="C36" s="100"/>
      <c r="D36" s="100"/>
      <c r="E36" s="100"/>
      <c r="F36" s="100"/>
      <c r="G36" s="100"/>
      <c r="H36" s="100"/>
      <c r="I36" s="100"/>
      <c r="J36" s="100"/>
      <c r="K36" s="100"/>
    </row>
    <row r="38" spans="2:11" x14ac:dyDescent="0.25">
      <c r="B38" s="45"/>
    </row>
    <row r="39" spans="2:11" x14ac:dyDescent="0.25">
      <c r="B39" s="45"/>
    </row>
  </sheetData>
  <mergeCells count="48">
    <mergeCell ref="B36:K36"/>
    <mergeCell ref="J20:K20"/>
    <mergeCell ref="D17:H17"/>
    <mergeCell ref="J17:K17"/>
    <mergeCell ref="A5:B5"/>
    <mergeCell ref="D5:G5"/>
    <mergeCell ref="J5:K5"/>
    <mergeCell ref="A6:B6"/>
    <mergeCell ref="J6:K6"/>
    <mergeCell ref="A7:B7"/>
    <mergeCell ref="J7:K7"/>
    <mergeCell ref="A8:B8"/>
    <mergeCell ref="J8:K8"/>
    <mergeCell ref="A15:B15"/>
    <mergeCell ref="D15:H15"/>
    <mergeCell ref="J15:K15"/>
    <mergeCell ref="A1:K1"/>
    <mergeCell ref="A2:K2"/>
    <mergeCell ref="A3:K3"/>
    <mergeCell ref="A4:B4"/>
    <mergeCell ref="J4:K4"/>
    <mergeCell ref="J14:K14"/>
    <mergeCell ref="A11:B11"/>
    <mergeCell ref="J11:K11"/>
    <mergeCell ref="A9:B9"/>
    <mergeCell ref="J9:K9"/>
    <mergeCell ref="A10:B10"/>
    <mergeCell ref="J10:K10"/>
    <mergeCell ref="A12:B12"/>
    <mergeCell ref="J12:K12"/>
    <mergeCell ref="A13:B13"/>
    <mergeCell ref="J13:K13"/>
    <mergeCell ref="A32:K32"/>
    <mergeCell ref="D16:H16"/>
    <mergeCell ref="J16:K16"/>
    <mergeCell ref="J18:K18"/>
    <mergeCell ref="J19:K19"/>
    <mergeCell ref="J21:K21"/>
    <mergeCell ref="J22:K22"/>
    <mergeCell ref="G31:K31"/>
    <mergeCell ref="D23:H23"/>
    <mergeCell ref="J23:K23"/>
    <mergeCell ref="A25:H25"/>
    <mergeCell ref="J25:K25"/>
    <mergeCell ref="B27:D27"/>
    <mergeCell ref="A28:E28"/>
    <mergeCell ref="J24:K24"/>
    <mergeCell ref="H28:K28"/>
  </mergeCells>
  <printOptions horizontalCentered="1"/>
  <pageMargins left="0.23622047244094491" right="0.23622047244094491" top="0.35433070866141736" bottom="0.35433070866141736" header="0.31496062992125984" footer="0.31496062992125984"/>
  <pageSetup paperSize="9" scale="72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List Box 1">
              <controlPr defaultSize="0" autoLine="0" autoPict="0">
                <anchor moveWithCells="1">
                  <from>
                    <xdr:col>13</xdr:col>
                    <xdr:colOff>47625</xdr:colOff>
                    <xdr:row>4</xdr:row>
                    <xdr:rowOff>257175</xdr:rowOff>
                  </from>
                  <to>
                    <xdr:col>16</xdr:col>
                    <xdr:colOff>38100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9"/>
  <sheetViews>
    <sheetView zoomScale="85" zoomScaleNormal="85" workbookViewId="0">
      <selection activeCell="O29" sqref="O29"/>
    </sheetView>
  </sheetViews>
  <sheetFormatPr defaultRowHeight="15" x14ac:dyDescent="0.25"/>
  <cols>
    <col min="2" max="2" width="13.28515625" customWidth="1"/>
    <col min="3" max="3" width="1.5703125" bestFit="1" customWidth="1"/>
    <col min="7" max="7" width="0.42578125" customWidth="1"/>
    <col min="9" max="9" width="1.5703125" bestFit="1" customWidth="1"/>
    <col min="11" max="11" width="23.42578125" customWidth="1"/>
  </cols>
  <sheetData>
    <row r="1" spans="1:13" ht="26.25" x14ac:dyDescent="0.25">
      <c r="A1" s="97" t="s">
        <v>27</v>
      </c>
      <c r="B1" s="97"/>
      <c r="C1" s="97"/>
      <c r="D1" s="97"/>
      <c r="E1" s="97"/>
      <c r="F1" s="97"/>
      <c r="G1" s="97"/>
      <c r="H1" s="97"/>
      <c r="I1" s="97"/>
      <c r="J1" s="97"/>
      <c r="K1" s="97"/>
    </row>
    <row r="2" spans="1:13" ht="26.25" x14ac:dyDescent="0.25">
      <c r="A2" s="98" t="s">
        <v>28</v>
      </c>
      <c r="B2" s="98"/>
      <c r="C2" s="98"/>
      <c r="D2" s="98"/>
      <c r="E2" s="98"/>
      <c r="F2" s="98"/>
      <c r="G2" s="98"/>
      <c r="H2" s="98"/>
      <c r="I2" s="98"/>
      <c r="J2" s="98"/>
      <c r="K2" s="98"/>
    </row>
    <row r="3" spans="1:13" ht="21" x14ac:dyDescent="0.25">
      <c r="A3" s="99" t="s">
        <v>29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3" ht="16.5" thickBot="1" x14ac:dyDescent="0.3">
      <c r="A4" s="95" t="s">
        <v>30</v>
      </c>
      <c r="B4" s="95"/>
      <c r="C4" s="48" t="s">
        <v>32</v>
      </c>
      <c r="D4" s="52">
        <v>2025</v>
      </c>
      <c r="E4" s="53"/>
      <c r="F4" s="53"/>
      <c r="G4" s="53"/>
      <c r="H4" s="2" t="s">
        <v>41</v>
      </c>
      <c r="I4" s="2" t="s">
        <v>32</v>
      </c>
      <c r="J4" s="95" t="s">
        <v>74</v>
      </c>
      <c r="K4" s="95"/>
      <c r="M4" s="11"/>
    </row>
    <row r="5" spans="1:13" s="13" customFormat="1" ht="32.25" customHeight="1" thickBot="1" x14ac:dyDescent="0.3">
      <c r="A5" s="101" t="s">
        <v>73</v>
      </c>
      <c r="B5" s="101"/>
      <c r="C5" s="46" t="s">
        <v>32</v>
      </c>
      <c r="D5" s="101" t="str">
        <f>VLOOKUP('Slip Coba'!M5,'Gaji RS'!A10:AG14,7)</f>
        <v>HRD</v>
      </c>
      <c r="E5" s="101"/>
      <c r="F5" s="101"/>
      <c r="G5" s="101"/>
      <c r="H5" s="22" t="s">
        <v>42</v>
      </c>
      <c r="I5" s="22" t="s">
        <v>32</v>
      </c>
      <c r="J5" s="101" t="str">
        <f>VLOOKUP('Slip Coba'!M5,'Gaji RS'!A10:AK24,3)</f>
        <v>Atika Rahim , S.H</v>
      </c>
      <c r="K5" s="101"/>
      <c r="M5" s="23">
        <v>1</v>
      </c>
    </row>
    <row r="6" spans="1:13" ht="15.75" x14ac:dyDescent="0.25">
      <c r="A6" s="102" t="s">
        <v>31</v>
      </c>
      <c r="B6" s="102"/>
      <c r="C6" s="3" t="s">
        <v>32</v>
      </c>
      <c r="D6" s="3"/>
      <c r="E6" s="54"/>
      <c r="F6" s="54"/>
      <c r="G6" s="54"/>
      <c r="H6" s="54"/>
      <c r="I6" s="54"/>
      <c r="J6" s="103">
        <f>VLOOKUP('Slip Coba'!M5,'Gaji RS'!A10:AG24,10)</f>
        <v>7000000</v>
      </c>
      <c r="K6" s="103"/>
    </row>
    <row r="7" spans="1:13" ht="15.75" x14ac:dyDescent="0.25">
      <c r="A7" s="94" t="s">
        <v>53</v>
      </c>
      <c r="B7" s="94"/>
      <c r="C7" s="3" t="s">
        <v>32</v>
      </c>
      <c r="D7" s="3"/>
      <c r="E7" s="54"/>
      <c r="F7" s="54"/>
      <c r="G7" s="54"/>
      <c r="H7" s="54"/>
      <c r="I7" s="54"/>
      <c r="J7" s="93">
        <f>VLOOKUP('Slip Coba'!M5,'Gaji RS'!A10:AG24,11)</f>
        <v>1200000</v>
      </c>
      <c r="K7" s="93"/>
    </row>
    <row r="8" spans="1:13" ht="15.75" x14ac:dyDescent="0.25">
      <c r="A8" s="94" t="s">
        <v>54</v>
      </c>
      <c r="B8" s="94"/>
      <c r="C8" s="3" t="s">
        <v>32</v>
      </c>
      <c r="D8" s="3"/>
      <c r="E8" s="54"/>
      <c r="F8" s="54"/>
      <c r="G8" s="54"/>
      <c r="H8" s="54"/>
      <c r="I8" s="54"/>
      <c r="J8" s="93">
        <f>VLOOKUP('Slip Coba'!M5,'Gaji RS'!A10:AG24,12)</f>
        <v>0</v>
      </c>
      <c r="K8" s="93"/>
    </row>
    <row r="9" spans="1:13" ht="15.75" x14ac:dyDescent="0.25">
      <c r="A9" s="94" t="s">
        <v>66</v>
      </c>
      <c r="B9" s="94"/>
      <c r="C9" s="54" t="s">
        <v>32</v>
      </c>
      <c r="D9" s="54"/>
      <c r="E9" s="54"/>
      <c r="F9" s="54"/>
      <c r="G9" s="54"/>
      <c r="H9" s="54"/>
      <c r="I9" s="54"/>
      <c r="J9" s="93">
        <f>VLOOKUP('Slip Coba'!M5,'Gaji RS'!A10:AG24,13)</f>
        <v>300000</v>
      </c>
      <c r="K9" s="93"/>
    </row>
    <row r="10" spans="1:13" ht="15.75" x14ac:dyDescent="0.25">
      <c r="A10" s="94" t="s">
        <v>51</v>
      </c>
      <c r="B10" s="94"/>
      <c r="C10" s="54" t="s">
        <v>32</v>
      </c>
      <c r="D10" s="54"/>
      <c r="E10" s="54"/>
      <c r="F10" s="54"/>
      <c r="G10" s="54"/>
      <c r="H10" s="54"/>
      <c r="I10" s="54"/>
      <c r="J10" s="93">
        <f>VLOOKUP('Slip Coba'!M5,'Gaji RS'!A10:AG24,14)</f>
        <v>0</v>
      </c>
      <c r="K10" s="93"/>
    </row>
    <row r="11" spans="1:13" ht="15.75" x14ac:dyDescent="0.25">
      <c r="A11" s="92" t="s">
        <v>34</v>
      </c>
      <c r="B11" s="92"/>
      <c r="C11" s="54" t="s">
        <v>32</v>
      </c>
      <c r="D11" s="54"/>
      <c r="E11" s="54"/>
      <c r="F11" s="54"/>
      <c r="G11" s="54"/>
      <c r="H11" s="54"/>
      <c r="I11" s="54"/>
      <c r="J11" s="93">
        <f>VLOOKUP('Slip Coba'!M5,'Gaji RS'!A10:AG24,15)</f>
        <v>0</v>
      </c>
      <c r="K11" s="93"/>
    </row>
    <row r="12" spans="1:13" ht="15.75" x14ac:dyDescent="0.25">
      <c r="A12" s="94" t="s">
        <v>33</v>
      </c>
      <c r="B12" s="94"/>
      <c r="C12" s="3" t="s">
        <v>32</v>
      </c>
      <c r="D12" s="3"/>
      <c r="E12" s="54"/>
      <c r="F12" s="54"/>
      <c r="G12" s="54"/>
      <c r="H12" s="54"/>
      <c r="I12" s="54"/>
      <c r="J12" s="93">
        <f>VLOOKUP('Slip Coba'!M5,'Gaji RS'!A10:AG24,16)</f>
        <v>0</v>
      </c>
      <c r="K12" s="93"/>
    </row>
    <row r="13" spans="1:13" ht="16.5" thickBot="1" x14ac:dyDescent="0.3">
      <c r="A13" s="95" t="s">
        <v>48</v>
      </c>
      <c r="B13" s="95"/>
      <c r="C13" s="2" t="s">
        <v>32</v>
      </c>
      <c r="D13" s="2"/>
      <c r="E13" s="53"/>
      <c r="F13" s="53"/>
      <c r="G13" s="53"/>
      <c r="H13" s="53"/>
      <c r="I13" s="53"/>
      <c r="J13" s="96">
        <f>VLOOKUP('Slip Coba'!M5,'Gaji RS'!A10:AG24,17)</f>
        <v>0</v>
      </c>
      <c r="K13" s="96"/>
    </row>
    <row r="14" spans="1:13" ht="16.5" thickBot="1" x14ac:dyDescent="0.3">
      <c r="A14" s="4" t="s">
        <v>35</v>
      </c>
      <c r="B14" s="53"/>
      <c r="C14" s="2" t="s">
        <v>32</v>
      </c>
      <c r="D14" s="2"/>
      <c r="E14" s="53"/>
      <c r="F14" s="53"/>
      <c r="G14" s="53"/>
      <c r="H14" s="53"/>
      <c r="I14" s="53"/>
      <c r="J14" s="91">
        <f>SUM(J6:K13)</f>
        <v>8500000</v>
      </c>
      <c r="K14" s="91"/>
    </row>
    <row r="15" spans="1:13" ht="15.75" x14ac:dyDescent="0.25">
      <c r="A15" s="102" t="s">
        <v>36</v>
      </c>
      <c r="B15" s="102"/>
      <c r="C15" s="47" t="s">
        <v>32</v>
      </c>
      <c r="D15" s="102" t="s">
        <v>68</v>
      </c>
      <c r="E15" s="102"/>
      <c r="F15" s="102"/>
      <c r="G15" s="102"/>
      <c r="H15" s="102"/>
      <c r="I15" s="47"/>
      <c r="J15" s="103">
        <f>VLOOKUP('Slip Coba'!M5,'Gaji RS'!A10:AG24,26)</f>
        <v>246000</v>
      </c>
      <c r="K15" s="103"/>
    </row>
    <row r="16" spans="1:13" ht="15.75" x14ac:dyDescent="0.25">
      <c r="A16" s="5"/>
      <c r="B16" s="54"/>
      <c r="C16" s="3" t="s">
        <v>32</v>
      </c>
      <c r="D16" s="84" t="s">
        <v>69</v>
      </c>
      <c r="E16" s="84"/>
      <c r="F16" s="84"/>
      <c r="G16" s="84"/>
      <c r="H16" s="84"/>
      <c r="I16" s="55"/>
      <c r="J16" s="85">
        <f>VLOOKUP('Slip Coba'!M5,'Gaji RS'!A10:AG24,20)</f>
        <v>82000</v>
      </c>
      <c r="K16" s="85"/>
    </row>
    <row r="17" spans="1:11" ht="15.75" x14ac:dyDescent="0.25">
      <c r="A17" s="5"/>
      <c r="B17" s="54"/>
      <c r="C17" s="3" t="s">
        <v>32</v>
      </c>
      <c r="D17" s="84" t="s">
        <v>56</v>
      </c>
      <c r="E17" s="84"/>
      <c r="F17" s="84"/>
      <c r="G17" s="84"/>
      <c r="H17" s="84"/>
      <c r="I17" s="55"/>
      <c r="J17" s="85">
        <f>VLOOKUP('Slip Coba'!M5,'Gaji RS'!A10:AG24,21)</f>
        <v>0</v>
      </c>
      <c r="K17" s="85"/>
    </row>
    <row r="18" spans="1:11" ht="15.75" x14ac:dyDescent="0.25">
      <c r="A18" s="5"/>
      <c r="B18" s="54"/>
      <c r="C18" s="3" t="s">
        <v>32</v>
      </c>
      <c r="D18" s="55" t="s">
        <v>59</v>
      </c>
      <c r="E18" s="55"/>
      <c r="F18" s="55"/>
      <c r="G18" s="55"/>
      <c r="H18" s="55"/>
      <c r="I18" s="55"/>
      <c r="J18" s="85">
        <f>VLOOKUP('Slip Coba'!M5,'Gaji RS'!A10:AG24,27)</f>
        <v>50000</v>
      </c>
      <c r="K18" s="85"/>
    </row>
    <row r="19" spans="1:11" ht="15.75" x14ac:dyDescent="0.25">
      <c r="A19" s="5"/>
      <c r="B19" s="54"/>
      <c r="C19" s="3" t="s">
        <v>32</v>
      </c>
      <c r="D19" s="55" t="s">
        <v>70</v>
      </c>
      <c r="E19" s="55"/>
      <c r="F19" s="55"/>
      <c r="G19" s="55"/>
      <c r="H19" s="55"/>
      <c r="I19" s="55"/>
      <c r="J19" s="85">
        <f>VLOOKUP('Slip Coba'!M5,'Gaji RS'!A10:AG24,28)</f>
        <v>0</v>
      </c>
      <c r="K19" s="85"/>
    </row>
    <row r="20" spans="1:11" ht="15.75" x14ac:dyDescent="0.25">
      <c r="A20" s="5"/>
      <c r="B20" s="54"/>
      <c r="C20" s="3" t="s">
        <v>32</v>
      </c>
      <c r="D20" s="55" t="s">
        <v>71</v>
      </c>
      <c r="E20" s="55"/>
      <c r="F20" s="55"/>
      <c r="G20" s="55"/>
      <c r="H20" s="55"/>
      <c r="I20" s="55"/>
      <c r="J20" s="85">
        <f>VLOOKUP('Slip Coba'!M5,'Gaji RS'!A10:AG24,31)</f>
        <v>0</v>
      </c>
      <c r="K20" s="85"/>
    </row>
    <row r="21" spans="1:11" ht="15.75" x14ac:dyDescent="0.25">
      <c r="A21" s="5"/>
      <c r="B21" s="54"/>
      <c r="C21" s="3" t="s">
        <v>32</v>
      </c>
      <c r="D21" s="54" t="s">
        <v>72</v>
      </c>
      <c r="E21" s="54"/>
      <c r="F21" s="55"/>
      <c r="G21" s="55"/>
      <c r="H21" s="55"/>
      <c r="I21" s="55"/>
      <c r="J21" s="85">
        <f>VLOOKUP('Slip Coba'!M5,'Gaji RS'!A10:AG24,29)</f>
        <v>0</v>
      </c>
      <c r="K21" s="85"/>
    </row>
    <row r="22" spans="1:11" ht="15.75" x14ac:dyDescent="0.25">
      <c r="A22" s="5"/>
      <c r="B22" s="54"/>
      <c r="C22" s="3" t="s">
        <v>32</v>
      </c>
      <c r="D22" s="55" t="s">
        <v>62</v>
      </c>
      <c r="E22" s="55"/>
      <c r="F22" s="55"/>
      <c r="G22" s="55"/>
      <c r="H22" s="55"/>
      <c r="I22" s="55"/>
      <c r="J22" s="85">
        <f>VLOOKUP('Slip Coba'!M5,'Gaji RS'!A10:AG24,30)</f>
        <v>557500</v>
      </c>
      <c r="K22" s="85"/>
    </row>
    <row r="23" spans="1:11" ht="15.75" x14ac:dyDescent="0.25">
      <c r="A23" s="3" t="s">
        <v>37</v>
      </c>
      <c r="B23" s="54"/>
      <c r="C23" s="54" t="s">
        <v>32</v>
      </c>
      <c r="D23" s="84" t="s">
        <v>43</v>
      </c>
      <c r="E23" s="84"/>
      <c r="F23" s="84"/>
      <c r="G23" s="84"/>
      <c r="H23" s="84"/>
      <c r="I23" s="55"/>
      <c r="J23" s="85">
        <f>VLOOKUP('Slip Coba'!M5,'Gaji RS'!A10:AG24,32)</f>
        <v>0</v>
      </c>
      <c r="K23" s="85"/>
    </row>
    <row r="24" spans="1:11" ht="16.5" thickBot="1" x14ac:dyDescent="0.3">
      <c r="A24" s="3"/>
      <c r="B24" s="54"/>
      <c r="C24" s="54" t="s">
        <v>32</v>
      </c>
      <c r="D24" s="55" t="s">
        <v>48</v>
      </c>
      <c r="E24" s="55"/>
      <c r="F24" s="55"/>
      <c r="G24" s="55"/>
      <c r="H24" s="55"/>
      <c r="I24" s="55"/>
      <c r="J24" s="104">
        <f>VLOOKUP('Slip Coba'!M5,'Gaji RS'!A10:AG24,33)</f>
        <v>0</v>
      </c>
      <c r="K24" s="104"/>
    </row>
    <row r="25" spans="1:11" ht="16.5" thickBot="1" x14ac:dyDescent="0.3">
      <c r="A25" s="87" t="s">
        <v>61</v>
      </c>
      <c r="B25" s="88"/>
      <c r="C25" s="88"/>
      <c r="D25" s="88"/>
      <c r="E25" s="88"/>
      <c r="F25" s="88"/>
      <c r="G25" s="88"/>
      <c r="H25" s="88"/>
      <c r="I25" s="49"/>
      <c r="J25" s="89">
        <f>J14-J15-J16-J17-J18-J19-J20-J21-J22-J23-J24</f>
        <v>7564500</v>
      </c>
      <c r="K25" s="89"/>
    </row>
    <row r="26" spans="1:11" ht="15.75" x14ac:dyDescent="0.25">
      <c r="A26" s="6"/>
      <c r="B26" s="7"/>
      <c r="C26" s="7"/>
      <c r="D26" s="7"/>
      <c r="E26" s="6"/>
      <c r="F26" s="6"/>
      <c r="G26" s="6"/>
      <c r="H26" s="6"/>
      <c r="I26" s="6"/>
      <c r="J26" s="8"/>
      <c r="K26" s="8"/>
    </row>
    <row r="27" spans="1:11" ht="15.75" x14ac:dyDescent="0.25">
      <c r="A27" s="9"/>
      <c r="B27" s="90" t="s">
        <v>55</v>
      </c>
      <c r="C27" s="90"/>
      <c r="D27" s="90"/>
      <c r="J27" s="10"/>
    </row>
    <row r="28" spans="1:11" ht="15.75" x14ac:dyDescent="0.25">
      <c r="A28" s="90" t="s">
        <v>94</v>
      </c>
      <c r="B28" s="90"/>
      <c r="C28" s="90"/>
      <c r="D28" s="90"/>
      <c r="E28" s="90"/>
      <c r="H28" s="90" t="s">
        <v>38</v>
      </c>
      <c r="I28" s="90"/>
      <c r="J28" s="90"/>
      <c r="K28" s="90"/>
    </row>
    <row r="29" spans="1:11" ht="15.75" x14ac:dyDescent="0.25">
      <c r="A29" s="3"/>
    </row>
    <row r="30" spans="1:11" ht="15.75" x14ac:dyDescent="0.25">
      <c r="A30" s="3"/>
    </row>
    <row r="31" spans="1:11" ht="28.5" customHeight="1" x14ac:dyDescent="0.25">
      <c r="F31" s="3" t="s">
        <v>39</v>
      </c>
      <c r="G31" s="86" t="str">
        <f>J5</f>
        <v>Atika Rahim , S.H</v>
      </c>
      <c r="H31" s="86"/>
      <c r="I31" s="86"/>
      <c r="J31" s="86"/>
      <c r="K31" s="86"/>
    </row>
    <row r="32" spans="1:11" ht="15.75" thickBot="1" x14ac:dyDescent="0.3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</row>
    <row r="36" spans="2:11" ht="31.5" customHeight="1" x14ac:dyDescent="0.25">
      <c r="B36" s="100"/>
      <c r="C36" s="100"/>
      <c r="D36" s="100"/>
      <c r="E36" s="100"/>
      <c r="F36" s="100"/>
      <c r="G36" s="100"/>
      <c r="H36" s="100"/>
      <c r="I36" s="100"/>
      <c r="J36" s="100"/>
      <c r="K36" s="100"/>
    </row>
    <row r="38" spans="2:11" x14ac:dyDescent="0.25">
      <c r="B38" s="45"/>
    </row>
    <row r="39" spans="2:11" x14ac:dyDescent="0.25">
      <c r="B39" s="45"/>
    </row>
  </sheetData>
  <mergeCells count="48">
    <mergeCell ref="A32:K32"/>
    <mergeCell ref="B36:K36"/>
    <mergeCell ref="A25:H25"/>
    <mergeCell ref="J25:K25"/>
    <mergeCell ref="B27:D27"/>
    <mergeCell ref="A28:E28"/>
    <mergeCell ref="H28:K28"/>
    <mergeCell ref="G31:K31"/>
    <mergeCell ref="J24:K24"/>
    <mergeCell ref="D16:H16"/>
    <mergeCell ref="J16:K16"/>
    <mergeCell ref="D17:H17"/>
    <mergeCell ref="J17:K17"/>
    <mergeCell ref="J18:K18"/>
    <mergeCell ref="J19:K19"/>
    <mergeCell ref="J20:K20"/>
    <mergeCell ref="J21:K21"/>
    <mergeCell ref="J22:K22"/>
    <mergeCell ref="D23:H23"/>
    <mergeCell ref="J23:K23"/>
    <mergeCell ref="A15:B15"/>
    <mergeCell ref="D15:H15"/>
    <mergeCell ref="J15:K15"/>
    <mergeCell ref="A9:B9"/>
    <mergeCell ref="J9:K9"/>
    <mergeCell ref="A10:B10"/>
    <mergeCell ref="J10:K10"/>
    <mergeCell ref="A11:B11"/>
    <mergeCell ref="J11:K11"/>
    <mergeCell ref="A12:B12"/>
    <mergeCell ref="J12:K12"/>
    <mergeCell ref="A13:B13"/>
    <mergeCell ref="J13:K13"/>
    <mergeCell ref="J14:K14"/>
    <mergeCell ref="A6:B6"/>
    <mergeCell ref="J6:K6"/>
    <mergeCell ref="A7:B7"/>
    <mergeCell ref="J7:K7"/>
    <mergeCell ref="A8:B8"/>
    <mergeCell ref="J8:K8"/>
    <mergeCell ref="A5:B5"/>
    <mergeCell ref="D5:G5"/>
    <mergeCell ref="J5:K5"/>
    <mergeCell ref="A1:K1"/>
    <mergeCell ref="A2:K2"/>
    <mergeCell ref="A3:K3"/>
    <mergeCell ref="A4:B4"/>
    <mergeCell ref="J4:K4"/>
  </mergeCells>
  <printOptions horizontalCentered="1"/>
  <pageMargins left="0.23622047244094491" right="0.23622047244094491" top="0.35433070866141736" bottom="0.35433070866141736" header="0.31496062992125984" footer="0.31496062992125984"/>
  <pageSetup paperSize="9" scale="72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ist Box 1">
              <controlPr defaultSize="0" autoLine="0" autoPict="0">
                <anchor moveWithCells="1">
                  <from>
                    <xdr:col>13</xdr:col>
                    <xdr:colOff>47625</xdr:colOff>
                    <xdr:row>4</xdr:row>
                    <xdr:rowOff>257175</xdr:rowOff>
                  </from>
                  <to>
                    <xdr:col>16</xdr:col>
                    <xdr:colOff>38100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Gaji RS</vt:lpstr>
      <vt:lpstr>Slip Gaji Cetak</vt:lpstr>
      <vt:lpstr>Slip Coba</vt:lpstr>
      <vt:lpstr>'Slip Coba'!Print_Area</vt:lpstr>
      <vt:lpstr>'Slip Gaji Cetak'!Print_Area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SDM RSM</cp:lastModifiedBy>
  <cp:lastPrinted>2025-06-23T01:03:29Z</cp:lastPrinted>
  <dcterms:created xsi:type="dcterms:W3CDTF">2019-05-07T02:24:33Z</dcterms:created>
  <dcterms:modified xsi:type="dcterms:W3CDTF">2025-08-08T02:58:48Z</dcterms:modified>
</cp:coreProperties>
</file>